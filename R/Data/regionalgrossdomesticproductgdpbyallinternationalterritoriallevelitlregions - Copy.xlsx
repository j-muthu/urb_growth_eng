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fileSharing readOnlyRecommended="1"/>
  <workbookPr filterPrivacy="1" defaultThemeVersion="166925"/>
  <xr:revisionPtr revIDLastSave="788" documentId="8_{3AE70DCD-3737-49E2-B866-2564F5B264D2}" xr6:coauthVersionLast="47" xr6:coauthVersionMax="47" xr10:uidLastSave="{6C2A712B-13C4-468E-AFAB-B5543C5DCB63}"/>
  <bookViews>
    <workbookView xWindow="-10283" yWindow="8002" windowWidth="20715" windowHeight="13155" tabRatio="707" firstSheet="2" activeTab="5" xr2:uid="{00000000-000D-0000-FFFF-FFFF00000000}"/>
  </bookViews>
  <sheets>
    <sheet name="Information" sheetId="19" r:id="rId1"/>
    <sheet name="Contents" sheetId="20" r:id="rId2"/>
    <sheet name="Notes" sheetId="21" r:id="rId3"/>
    <sheet name="Table 11" sheetId="52" r:id="rId4"/>
    <sheet name="Table 11 growth" sheetId="53" r:id="rId5"/>
    <sheet name="Table 11 city growth" sheetId="55" r:id="rId6"/>
    <sheet name="Table 11 England only" sheetId="49" r:id="rId7"/>
    <sheet name="Table 13" sheetId="51" r:id="rId8"/>
    <sheet name="Table 13 England only" sheetId="50" r:id="rId9"/>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17" i="55" l="1"/>
  <c r="H117" i="55"/>
  <c r="H123" i="55"/>
  <c r="F123" i="55"/>
  <c r="H122" i="55"/>
  <c r="F122" i="55"/>
  <c r="H121" i="55"/>
  <c r="F121" i="55"/>
  <c r="H120" i="55"/>
  <c r="F120" i="55"/>
  <c r="H119" i="55"/>
  <c r="F119" i="55"/>
  <c r="H118" i="55"/>
  <c r="F118" i="55"/>
  <c r="H116" i="55"/>
  <c r="F116" i="55"/>
  <c r="H115" i="55"/>
  <c r="F115" i="55"/>
  <c r="H114" i="55"/>
  <c r="F114" i="55"/>
  <c r="H113" i="55"/>
  <c r="F113" i="55"/>
  <c r="H112" i="55"/>
  <c r="F112" i="55"/>
  <c r="H111" i="55"/>
  <c r="F111" i="55"/>
  <c r="H110" i="55"/>
  <c r="F110" i="55"/>
  <c r="H109" i="55"/>
  <c r="F109" i="55"/>
  <c r="H108" i="55"/>
  <c r="F108" i="55"/>
  <c r="H107" i="55"/>
  <c r="F107" i="55"/>
  <c r="H106" i="55"/>
  <c r="F106" i="55"/>
  <c r="H105" i="55"/>
  <c r="F105" i="55"/>
  <c r="H104" i="55"/>
  <c r="F104" i="55"/>
  <c r="H103" i="55"/>
  <c r="F103" i="55"/>
  <c r="H102" i="55"/>
  <c r="F102" i="55"/>
  <c r="H101" i="55"/>
  <c r="F101" i="55"/>
  <c r="H100" i="55"/>
  <c r="F100" i="55"/>
  <c r="H99" i="55"/>
  <c r="F99" i="55"/>
  <c r="H98" i="55"/>
  <c r="F98" i="55"/>
  <c r="H97" i="55"/>
  <c r="F97" i="55"/>
  <c r="H96" i="55"/>
  <c r="F96" i="55"/>
  <c r="H95" i="55"/>
  <c r="F95" i="55"/>
  <c r="H94" i="55"/>
  <c r="F94" i="55"/>
  <c r="H93" i="55"/>
  <c r="F93" i="55"/>
  <c r="H92" i="55"/>
  <c r="F92" i="55"/>
  <c r="H91" i="55"/>
  <c r="F91" i="55"/>
  <c r="H90" i="55"/>
  <c r="F90" i="55"/>
  <c r="H89" i="55"/>
  <c r="F89" i="55"/>
  <c r="H88" i="55"/>
  <c r="F88" i="55"/>
  <c r="H87" i="55"/>
  <c r="F87" i="55"/>
  <c r="H86" i="55"/>
  <c r="F86" i="55"/>
  <c r="H85" i="55"/>
  <c r="F85" i="55"/>
  <c r="H84" i="55"/>
  <c r="F84" i="55"/>
  <c r="H83" i="55"/>
  <c r="F83" i="55"/>
  <c r="H82" i="55"/>
  <c r="F82" i="55"/>
  <c r="H81" i="55"/>
  <c r="F81" i="55"/>
  <c r="H80" i="55"/>
  <c r="F80" i="55"/>
  <c r="H79" i="55"/>
  <c r="F79" i="55"/>
  <c r="H78" i="55"/>
  <c r="F78" i="55"/>
  <c r="H77" i="55"/>
  <c r="F77" i="55"/>
  <c r="H76" i="55"/>
  <c r="F76" i="55"/>
  <c r="H75" i="55"/>
  <c r="F75" i="55"/>
  <c r="H74" i="55"/>
  <c r="F74" i="55"/>
  <c r="H73" i="55"/>
  <c r="F73" i="55"/>
  <c r="H72" i="55"/>
  <c r="F72" i="55"/>
  <c r="H71" i="55"/>
  <c r="F71" i="55"/>
  <c r="H70" i="55"/>
  <c r="F70" i="55"/>
  <c r="H69" i="55"/>
  <c r="F69" i="55"/>
  <c r="H68" i="55"/>
  <c r="F68" i="55"/>
  <c r="H67" i="55"/>
  <c r="F67" i="55"/>
  <c r="H66" i="55"/>
  <c r="F66" i="55"/>
  <c r="H65" i="55"/>
  <c r="F65" i="55"/>
  <c r="H64" i="55"/>
  <c r="F64" i="55"/>
  <c r="H63" i="55"/>
  <c r="F63" i="55"/>
  <c r="H62" i="55"/>
  <c r="F62" i="55"/>
  <c r="H61" i="55"/>
  <c r="F61" i="55"/>
  <c r="H60" i="55"/>
  <c r="F60" i="55"/>
  <c r="H59" i="55"/>
  <c r="F59" i="55"/>
  <c r="H58" i="55"/>
  <c r="F58" i="55"/>
  <c r="H57" i="55"/>
  <c r="F57" i="55"/>
  <c r="H56" i="55"/>
  <c r="F56" i="55"/>
  <c r="H55" i="55"/>
  <c r="F55" i="55"/>
  <c r="H54" i="55"/>
  <c r="F54" i="55"/>
  <c r="H53" i="55"/>
  <c r="F53" i="55"/>
  <c r="H52" i="55"/>
  <c r="F52" i="55"/>
  <c r="H51" i="55"/>
  <c r="F51" i="55"/>
  <c r="H50" i="55"/>
  <c r="F50" i="55"/>
  <c r="H49" i="55"/>
  <c r="F49" i="55"/>
  <c r="H48" i="55"/>
  <c r="F48" i="55"/>
  <c r="H47" i="55"/>
  <c r="F47" i="55"/>
  <c r="H46" i="55"/>
  <c r="F46" i="55"/>
  <c r="H45" i="55"/>
  <c r="F45" i="55"/>
  <c r="H44" i="55"/>
  <c r="F44" i="55"/>
  <c r="H43" i="55"/>
  <c r="F43" i="55"/>
  <c r="H42" i="55"/>
  <c r="F42" i="55"/>
  <c r="H41" i="55"/>
  <c r="F41" i="55"/>
  <c r="H40" i="55"/>
  <c r="F40" i="55"/>
  <c r="H39" i="55"/>
  <c r="F39" i="55"/>
  <c r="H38" i="55"/>
  <c r="F38" i="55"/>
  <c r="H37" i="55"/>
  <c r="F37" i="55"/>
  <c r="H36" i="55"/>
  <c r="F36" i="55"/>
  <c r="H35" i="55"/>
  <c r="F35" i="55"/>
  <c r="H34" i="55"/>
  <c r="F34" i="55"/>
  <c r="H33" i="55"/>
  <c r="F33" i="55"/>
  <c r="H32" i="55"/>
  <c r="F32" i="55"/>
  <c r="H31" i="55"/>
  <c r="F31" i="55"/>
  <c r="H30" i="55"/>
  <c r="F30" i="55"/>
  <c r="H29" i="55"/>
  <c r="F29" i="55"/>
  <c r="H28" i="55"/>
  <c r="F28" i="55"/>
  <c r="H27" i="55"/>
  <c r="F27" i="55"/>
  <c r="H26" i="55"/>
  <c r="F26" i="55"/>
  <c r="H25" i="55"/>
  <c r="F25" i="55"/>
  <c r="H24" i="55"/>
  <c r="F24" i="55"/>
  <c r="H23" i="55"/>
  <c r="F23" i="55"/>
  <c r="H22" i="55"/>
  <c r="F22" i="55"/>
  <c r="H21" i="55"/>
  <c r="F21" i="55"/>
  <c r="H20" i="55"/>
  <c r="F20" i="55"/>
  <c r="H19" i="55"/>
  <c r="F19" i="55"/>
  <c r="H18" i="55"/>
  <c r="F18" i="55"/>
  <c r="H17" i="55"/>
  <c r="F17" i="55"/>
  <c r="H16" i="55"/>
  <c r="F16" i="55"/>
  <c r="H15" i="55"/>
  <c r="F15" i="55"/>
  <c r="H14" i="55"/>
  <c r="F14" i="55"/>
  <c r="H13" i="55"/>
  <c r="F13" i="55"/>
  <c r="H12" i="55"/>
  <c r="F12" i="55"/>
  <c r="H11" i="55"/>
  <c r="F11" i="55"/>
  <c r="H10" i="55"/>
  <c r="F10" i="55"/>
  <c r="H9" i="55"/>
  <c r="F9" i="55"/>
  <c r="H8" i="55"/>
  <c r="F8" i="55"/>
  <c r="H7" i="55"/>
  <c r="F7" i="55"/>
  <c r="H6" i="55"/>
  <c r="F6" i="55"/>
  <c r="H5" i="55"/>
  <c r="F5" i="55"/>
  <c r="H4" i="55"/>
  <c r="F4" i="55"/>
  <c r="H3" i="55"/>
  <c r="F3" i="55"/>
  <c r="H4" i="53"/>
  <c r="H5" i="53"/>
  <c r="H6" i="53"/>
  <c r="H7" i="53"/>
  <c r="H8" i="53"/>
  <c r="H9" i="53"/>
  <c r="H10" i="53"/>
  <c r="H11" i="53"/>
  <c r="H12" i="53"/>
  <c r="H13" i="53"/>
  <c r="H14" i="53"/>
  <c r="H15" i="53"/>
  <c r="H16" i="53"/>
  <c r="H17" i="53"/>
  <c r="H18" i="53"/>
  <c r="H19" i="53"/>
  <c r="H20" i="53"/>
  <c r="H21" i="53"/>
  <c r="H22" i="53"/>
  <c r="H23" i="53"/>
  <c r="H24" i="53"/>
  <c r="H25" i="53"/>
  <c r="H26" i="53"/>
  <c r="H27" i="53"/>
  <c r="H28" i="53"/>
  <c r="H29" i="53"/>
  <c r="H30" i="53"/>
  <c r="H31" i="53"/>
  <c r="H32" i="53"/>
  <c r="H33" i="53"/>
  <c r="H34" i="53"/>
  <c r="H35" i="53"/>
  <c r="H36" i="53"/>
  <c r="H37" i="53"/>
  <c r="H38" i="53"/>
  <c r="H39" i="53"/>
  <c r="H40" i="53"/>
  <c r="H41" i="53"/>
  <c r="H42" i="53"/>
  <c r="H43" i="53"/>
  <c r="H44" i="53"/>
  <c r="H45" i="53"/>
  <c r="H46" i="53"/>
  <c r="H47" i="53"/>
  <c r="H48" i="53"/>
  <c r="H49" i="53"/>
  <c r="H50" i="53"/>
  <c r="H51" i="53"/>
  <c r="H52" i="53"/>
  <c r="H53" i="53"/>
  <c r="H54" i="53"/>
  <c r="H55" i="53"/>
  <c r="H56" i="53"/>
  <c r="H57" i="53"/>
  <c r="H58" i="53"/>
  <c r="H59" i="53"/>
  <c r="H60" i="53"/>
  <c r="H61" i="53"/>
  <c r="H62" i="53"/>
  <c r="H63" i="53"/>
  <c r="H64" i="53"/>
  <c r="H65" i="53"/>
  <c r="H66" i="53"/>
  <c r="H67" i="53"/>
  <c r="H68" i="53"/>
  <c r="H69" i="53"/>
  <c r="H70" i="53"/>
  <c r="H71" i="53"/>
  <c r="H72" i="53"/>
  <c r="H73" i="53"/>
  <c r="H74" i="53"/>
  <c r="H75" i="53"/>
  <c r="H76" i="53"/>
  <c r="H77" i="53"/>
  <c r="H78" i="53"/>
  <c r="H79" i="53"/>
  <c r="H80" i="53"/>
  <c r="H81" i="53"/>
  <c r="H82" i="53"/>
  <c r="H83" i="53"/>
  <c r="H84" i="53"/>
  <c r="H85" i="53"/>
  <c r="H86" i="53"/>
  <c r="H87" i="53"/>
  <c r="H88" i="53"/>
  <c r="H89" i="53"/>
  <c r="H90" i="53"/>
  <c r="H91" i="53"/>
  <c r="H92" i="53"/>
  <c r="H93" i="53"/>
  <c r="H94" i="53"/>
  <c r="H95" i="53"/>
  <c r="H96" i="53"/>
  <c r="H97" i="53"/>
  <c r="H98" i="53"/>
  <c r="H99" i="53"/>
  <c r="H100" i="53"/>
  <c r="H101" i="53"/>
  <c r="H102" i="53"/>
  <c r="H103" i="53"/>
  <c r="H104" i="53"/>
  <c r="H105" i="53"/>
  <c r="H106" i="53"/>
  <c r="H107" i="53"/>
  <c r="H108" i="53"/>
  <c r="H109" i="53"/>
  <c r="H110" i="53"/>
  <c r="H111" i="53"/>
  <c r="H112" i="53"/>
  <c r="H113" i="53"/>
  <c r="H114" i="53"/>
  <c r="H115" i="53"/>
  <c r="H116" i="53"/>
  <c r="H117" i="53"/>
  <c r="H118" i="53"/>
  <c r="H119" i="53"/>
  <c r="H120" i="53"/>
  <c r="H121" i="53"/>
  <c r="H122" i="53"/>
  <c r="H123" i="53"/>
  <c r="H124" i="53"/>
  <c r="H125" i="53"/>
  <c r="H126" i="53"/>
  <c r="H127" i="53"/>
  <c r="H128" i="53"/>
  <c r="H129" i="53"/>
  <c r="H130" i="53"/>
  <c r="H131" i="53"/>
  <c r="H132" i="53"/>
  <c r="H133" i="53"/>
  <c r="H134" i="53"/>
  <c r="H135" i="53"/>
  <c r="H136" i="53"/>
  <c r="H137" i="53"/>
  <c r="H138" i="53"/>
  <c r="H139" i="53"/>
  <c r="H140" i="53"/>
  <c r="H141" i="53"/>
  <c r="H142" i="53"/>
  <c r="H143" i="53"/>
  <c r="H144" i="53"/>
  <c r="H145" i="53"/>
  <c r="H146" i="53"/>
  <c r="H147" i="53"/>
  <c r="H148" i="53"/>
  <c r="H149" i="53"/>
  <c r="H150" i="53"/>
  <c r="H151" i="53"/>
  <c r="H152" i="53"/>
  <c r="H153" i="53"/>
  <c r="H154" i="53"/>
  <c r="H155" i="53"/>
  <c r="H156" i="53"/>
  <c r="H157" i="53"/>
  <c r="H158" i="53"/>
  <c r="H159" i="53"/>
  <c r="H160" i="53"/>
  <c r="H161" i="53"/>
  <c r="H162" i="53"/>
  <c r="H163" i="53"/>
  <c r="H164" i="53"/>
  <c r="H165" i="53"/>
  <c r="H166" i="53"/>
  <c r="H167" i="53"/>
  <c r="H168" i="53"/>
  <c r="H169" i="53"/>
  <c r="H170" i="53"/>
  <c r="H171" i="53"/>
  <c r="H172" i="53"/>
  <c r="H173" i="53"/>
  <c r="H174" i="53"/>
  <c r="H175" i="53"/>
  <c r="H176" i="53"/>
  <c r="H177" i="53"/>
  <c r="H178" i="53"/>
  <c r="H179" i="53"/>
  <c r="H180" i="53"/>
  <c r="H181" i="53"/>
  <c r="H182" i="53"/>
  <c r="H183" i="53"/>
  <c r="H184" i="53"/>
  <c r="H185" i="53"/>
  <c r="H186" i="53"/>
  <c r="H187" i="53"/>
  <c r="H188" i="53"/>
  <c r="H189" i="53"/>
  <c r="H190" i="53"/>
  <c r="H3" i="53"/>
  <c r="F3" i="53"/>
  <c r="F4" i="53"/>
  <c r="F5" i="53"/>
  <c r="F6" i="53"/>
  <c r="F7" i="53"/>
  <c r="F8" i="53"/>
  <c r="F9" i="53"/>
  <c r="F10" i="53"/>
  <c r="F11" i="53"/>
  <c r="F12" i="53"/>
  <c r="F13" i="53"/>
  <c r="F14" i="53"/>
  <c r="F15" i="53"/>
  <c r="F16" i="53"/>
  <c r="F17" i="53"/>
  <c r="F18" i="53"/>
  <c r="F19" i="53"/>
  <c r="F20" i="53"/>
  <c r="F21" i="53"/>
  <c r="F22" i="53"/>
  <c r="F23" i="53"/>
  <c r="F24" i="53"/>
  <c r="F25" i="53"/>
  <c r="F26" i="53"/>
  <c r="F27" i="53"/>
  <c r="F28" i="53"/>
  <c r="F29" i="53"/>
  <c r="F30" i="53"/>
  <c r="F31" i="53"/>
  <c r="F32" i="53"/>
  <c r="F33" i="53"/>
  <c r="F34" i="53"/>
  <c r="F35" i="53"/>
  <c r="F36" i="53"/>
  <c r="F37" i="53"/>
  <c r="F38" i="53"/>
  <c r="F39" i="53"/>
  <c r="F40" i="53"/>
  <c r="F41" i="53"/>
  <c r="F42" i="53"/>
  <c r="F43" i="53"/>
  <c r="F44" i="53"/>
  <c r="F45" i="53"/>
  <c r="F46" i="53"/>
  <c r="F47" i="53"/>
  <c r="F48" i="53"/>
  <c r="F49" i="53"/>
  <c r="F50" i="53"/>
  <c r="F51" i="53"/>
  <c r="F52" i="53"/>
  <c r="F53" i="53"/>
  <c r="F54" i="53"/>
  <c r="F55" i="53"/>
  <c r="F56" i="53"/>
  <c r="F57" i="53"/>
  <c r="F58" i="53"/>
  <c r="F59" i="53"/>
  <c r="F60" i="53"/>
  <c r="F61" i="53"/>
  <c r="F62" i="53"/>
  <c r="F63" i="53"/>
  <c r="F64" i="53"/>
  <c r="F65" i="53"/>
  <c r="F66" i="53"/>
  <c r="F67" i="53"/>
  <c r="F68" i="53"/>
  <c r="F69" i="53"/>
  <c r="F70" i="53"/>
  <c r="F71" i="53"/>
  <c r="F72" i="53"/>
  <c r="F73" i="53"/>
  <c r="F74" i="53"/>
  <c r="F75" i="53"/>
  <c r="F76" i="53"/>
  <c r="F77" i="53"/>
  <c r="F78" i="53"/>
  <c r="F79" i="53"/>
  <c r="F80" i="53"/>
  <c r="F81" i="53"/>
  <c r="F82" i="53"/>
  <c r="F83" i="53"/>
  <c r="F84" i="53"/>
  <c r="F85" i="53"/>
  <c r="F86" i="53"/>
  <c r="F87" i="53"/>
  <c r="F88" i="53"/>
  <c r="F89" i="53"/>
  <c r="F90" i="53"/>
  <c r="F91" i="53"/>
  <c r="F92" i="53"/>
  <c r="F93" i="53"/>
  <c r="F94" i="53"/>
  <c r="F95" i="53"/>
  <c r="F96" i="53"/>
  <c r="F97" i="53"/>
  <c r="F98" i="53"/>
  <c r="F99" i="53"/>
  <c r="F100" i="53"/>
  <c r="F101" i="53"/>
  <c r="F102" i="53"/>
  <c r="F103" i="53"/>
  <c r="F104" i="53"/>
  <c r="F105" i="53"/>
  <c r="F106" i="53"/>
  <c r="F107" i="53"/>
  <c r="F108" i="53"/>
  <c r="F109" i="53"/>
  <c r="F110" i="53"/>
  <c r="F111" i="53"/>
  <c r="F112" i="53"/>
  <c r="F113" i="53"/>
  <c r="F114" i="53"/>
  <c r="F115" i="53"/>
  <c r="F116" i="53"/>
  <c r="F117" i="53"/>
  <c r="F118" i="53"/>
  <c r="F119" i="53"/>
  <c r="F120" i="53"/>
  <c r="F121" i="53"/>
  <c r="F122" i="53"/>
  <c r="F123" i="53"/>
  <c r="F124" i="53"/>
  <c r="F125" i="53"/>
  <c r="F126" i="53"/>
  <c r="F127" i="53"/>
  <c r="F128" i="53"/>
  <c r="F129" i="53"/>
  <c r="F130" i="53"/>
  <c r="F131" i="53"/>
  <c r="F132" i="53"/>
  <c r="F133" i="53"/>
  <c r="F134" i="53"/>
  <c r="F135" i="53"/>
  <c r="F136" i="53"/>
  <c r="F137" i="53"/>
  <c r="F138" i="53"/>
  <c r="F139" i="53"/>
  <c r="F140" i="53"/>
  <c r="F141" i="53"/>
  <c r="F142" i="53"/>
  <c r="F143" i="53"/>
  <c r="F144" i="53"/>
  <c r="F145" i="53"/>
  <c r="F146" i="53"/>
  <c r="F147" i="53"/>
  <c r="F148" i="53"/>
  <c r="F149" i="53"/>
  <c r="F150" i="53"/>
  <c r="F151" i="53"/>
  <c r="F152" i="53"/>
  <c r="F153" i="53"/>
  <c r="F154" i="53"/>
  <c r="F155" i="53"/>
  <c r="F156" i="53"/>
  <c r="F157" i="53"/>
  <c r="F158" i="53"/>
  <c r="F159" i="53"/>
  <c r="F160" i="53"/>
  <c r="F161" i="53"/>
  <c r="F162" i="53"/>
  <c r="F163" i="53"/>
  <c r="F164" i="53"/>
  <c r="F165" i="53"/>
  <c r="F166" i="53"/>
  <c r="F167" i="53"/>
  <c r="F168" i="53"/>
  <c r="F169" i="53"/>
  <c r="F170" i="53"/>
  <c r="F171" i="53"/>
  <c r="F172" i="53"/>
  <c r="F173" i="53"/>
  <c r="F174" i="53"/>
  <c r="F175" i="53"/>
  <c r="F176" i="53"/>
  <c r="F177" i="53"/>
  <c r="F178" i="53"/>
  <c r="F179" i="53"/>
  <c r="F180" i="53"/>
  <c r="F181" i="53"/>
  <c r="F182" i="53"/>
  <c r="F183" i="53"/>
  <c r="F184" i="53"/>
  <c r="F185" i="53"/>
  <c r="F186" i="53"/>
  <c r="F187" i="53"/>
  <c r="F188" i="53"/>
  <c r="F189" i="53"/>
  <c r="F190" i="53"/>
  <c r="AA5" i="49"/>
  <c r="Q5" i="49"/>
  <c r="H5" i="50"/>
  <c r="I5" i="50" s="1"/>
  <c r="J5" i="50" s="1"/>
  <c r="K5" i="50" s="1"/>
  <c r="L5" i="50" s="1"/>
  <c r="M5" i="50" s="1"/>
  <c r="N5" i="50" s="1"/>
  <c r="O5" i="50" s="1"/>
  <c r="P5" i="50" s="1"/>
  <c r="Q5" i="50" s="1"/>
  <c r="R5" i="50" s="1"/>
  <c r="S5" i="50" s="1"/>
  <c r="T5" i="50" s="1"/>
  <c r="U5" i="50" s="1"/>
  <c r="V5" i="50" s="1"/>
  <c r="W5" i="50" s="1"/>
  <c r="X5" i="50" s="1"/>
  <c r="Y5" i="50" s="1"/>
  <c r="Z5" i="50" s="1"/>
  <c r="G5" i="50"/>
</calcChain>
</file>

<file path=xl/sharedStrings.xml><?xml version="1.0" encoding="utf-8"?>
<sst xmlns="http://schemas.openxmlformats.org/spreadsheetml/2006/main" count="2256" uniqueCount="463">
  <si>
    <t>Regional gross domestic product (GDP): all International Territorial Level (ITL) regions</t>
  </si>
  <si>
    <t>The data herein are based on the balanced measure of regional gross value added (GVA(B)), which combines estimates produced using the income and production approaches to create a single best estimate of GVA for each industry in each region.
We have now included the effects of taxes and subsidies on products to derive annual estimates of regional GDP. GDP is equivalent to GVA plus Value Added Tax (VAT) plus other taxes on products less subsidies on products.
In the tables presented here we show the calculation of GDP in current prices in tables 1 to 5. We then calculate GDP per head in tables 6 and 7. Table 8 shows the implied deflators from the GVA(B) dataset, which are used to remove the effect of price inflation and derive volume measures of regional GDP shown in tables 9 and 10. Table 11 shows volume GDP per head, and tables 12 and 13 show the annual growth rates of volume GDP and volume GDP per head. All calculations are carried out using unrounded data.</t>
  </si>
  <si>
    <t>Notes, units and provisional data</t>
  </si>
  <si>
    <t xml:space="preserve">Some cells in the tables refer to notes which can be found in the notes worksheet. Note markers are presented in square brackets, for example: [note 1].
Units are presented in the headings of each table.
The latest year's data are provisional.
Workplace-based estimates are allocated to the region in which the economic activity takes place.
Components may not sum to totals as a result of rounding.
Per head estimates may be distorted by people commuting to work between regions.
Extra-Regio comprises activity that cannot be assigned to regions.
</t>
  </si>
  <si>
    <t>Publication date</t>
  </si>
  <si>
    <t>Contact details</t>
  </si>
  <si>
    <t>Office for National Statistics, Government Buildings, Cardiff Road, Newport, NP10 8XG</t>
  </si>
  <si>
    <t>General enquiries</t>
  </si>
  <si>
    <t>Regional Accounts</t>
  </si>
  <si>
    <t>Email: regionalaccounts@ons.gov.uk</t>
  </si>
  <si>
    <t>Telephone: +44 (0)1633 456878</t>
  </si>
  <si>
    <t>Contents</t>
  </si>
  <si>
    <t>Table Number</t>
  </si>
  <si>
    <t>Table name</t>
  </si>
  <si>
    <t>Table 1</t>
  </si>
  <si>
    <t>Table 2</t>
  </si>
  <si>
    <t>Table 2: Value Added Tax (VAT) on products, pounds million</t>
  </si>
  <si>
    <t>Table 3</t>
  </si>
  <si>
    <t>Table 3: Other taxes on products, pounds million</t>
  </si>
  <si>
    <t>Table 4</t>
  </si>
  <si>
    <t>Table 4: Subsidies on products, pounds million</t>
  </si>
  <si>
    <t>Table 5</t>
  </si>
  <si>
    <t>Table 6</t>
  </si>
  <si>
    <t>Table 7</t>
  </si>
  <si>
    <t>Table 8</t>
  </si>
  <si>
    <t>Table 9</t>
  </si>
  <si>
    <t>Table 10</t>
  </si>
  <si>
    <t>Table 11</t>
  </si>
  <si>
    <t>Table 12</t>
  </si>
  <si>
    <t>Table 13</t>
  </si>
  <si>
    <t>Notes</t>
  </si>
  <si>
    <t xml:space="preserve">Note markers are presented throughout this dataset in square brackets, for example: [note 1]. </t>
  </si>
  <si>
    <t>Note number</t>
  </si>
  <si>
    <t>Note text</t>
  </si>
  <si>
    <t>Use of implied deflators duplicates the effect of chain-linking, though technically this results in constant price volume measures.</t>
  </si>
  <si>
    <t xml:space="preserve">Implied deflators are derived from whole economy current price and chained volume measures of GVA (except UK which uses GDP implied deflator). </t>
  </si>
  <si>
    <t>Components will not sum to totals since chain-linking produces non-additive volume estimates.</t>
  </si>
  <si>
    <t xml:space="preserve">ONS mid-year population estimates. </t>
  </si>
  <si>
    <t>ITL</t>
  </si>
  <si>
    <t>ITL code</t>
  </si>
  <si>
    <t>Region name</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</si>
  <si>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</si>
  <si>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</si>
  <si>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</si>
  <si>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</si>
  <si>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</si>
  <si>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</si>
  <si>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</si>
  <si>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</si>
  <si>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</si>
  <si>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</si>
  <si>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</si>
  <si>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</si>
  <si>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</si>
  <si>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</si>
  <si>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</si>
  <si>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</si>
  <si>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</si>
  <si>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</si>
  <si>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</si>
  <si>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</si>
  <si>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</si>
  <si>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</si>
  <si>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</si>
  <si>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</si>
  <si>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UK</t>
  </si>
  <si>
    <t>United Kingdom</t>
  </si>
  <si>
    <t>Other</t>
  </si>
  <si>
    <t>TLB</t>
  </si>
  <si>
    <t>England</t>
  </si>
  <si>
    <t>Table 1: Gross value added (Balanced) at current basic prices, pounds million</t>
  </si>
  <si>
    <t>Table 5: Gross domestic product (GDP) at current market prices, pounds million</t>
  </si>
  <si>
    <t>2022</t>
  </si>
  <si>
    <t>Extra-Regio has no population, therefore no per head value. We have used the letter [z] in place of per head estimates in relevant tables.</t>
  </si>
  <si>
    <t>Table 7: Gross domestic product (GDP) per head at current market prices, pounds [notes 5, 6]</t>
  </si>
  <si>
    <t>Table 6: Total resident population numbers, persons [notes 4, 5]</t>
  </si>
  <si>
    <t>2023</t>
  </si>
  <si>
    <t>These tables are part of the Regional economic activity by gross domestic product dataset published on 17 April 2025.</t>
  </si>
  <si>
    <t>This year we have adopted the 2025 update to the International Territorial Levels (ITL) geography framework. This is the first major update since the introduction of the ITL in 2021, to replace the Nomenclature of Units for Territorial Statistics (NUTS) classification following the UK leaving the European Union. 
The new ITL classification is unchanged at the ITL1 level, still comprising Wales, Scotland, Northern Ireland and the nine English regions. There is also a 13th "region", called "extra-regio", which contains activity that cannot be assigned to a mainland region of the UK (North Sea oil and gas extraction, UK embassies and armed forces posted overseas).
At the ITL2 level, there are now 46 subregions (formerly 41), with new subregions in Wales, Scotland, and the North East, South West and East of England.
At the ITL3 level, there are now 182 local areas (formerly 179), with new areas in all countries and regions except Northern Ireland, the North East, East Midlands and West Midlands.</t>
  </si>
  <si>
    <t>Table 11: Gross domestic product (GDP) chained volume measures (CVM) in 2022 money value, per head, pounds [notes 1, 5, 6]</t>
  </si>
  <si>
    <t>Table 13: Gross domestic product (GDP) chained volume measures (CVM) per head annual growth rates, percentage [notes 1, 5, 6]</t>
  </si>
  <si>
    <t>Table 8: Whole economy GVA implied deflators, 2022 equals 100 [note 2]</t>
  </si>
  <si>
    <t>Table 9: Gross domestic product (GDP) chained volume measures (CVM) index, 2022 equals 100 [note 1]</t>
  </si>
  <si>
    <t>Table 10: Gross domestic product (GDP) chained volume measures (CVM) in 2022 money value, pounds million [notes 1, 3]</t>
  </si>
  <si>
    <t>Table 12: Gross domestic product (GDP) chained volume measures (CVM) annual growth rates, percentage [note 1]</t>
  </si>
  <si>
    <t xml:space="preserve">Within this table some cells contain the letter [u]. This indicates a figure has been suppressed due to uncertainty. Some population data for parts of Scotland and Northern Ireland are not yet available. </t>
  </si>
  <si>
    <t>ITL3</t>
  </si>
  <si>
    <t>ITL2</t>
  </si>
  <si>
    <t>ITL1</t>
  </si>
  <si>
    <t>Gloucestershire CC</t>
  </si>
  <si>
    <t>TLK73</t>
  </si>
  <si>
    <t>Wiltshire</t>
  </si>
  <si>
    <t>TLK72</t>
  </si>
  <si>
    <t>Swindon</t>
  </si>
  <si>
    <t>TLK71</t>
  </si>
  <si>
    <t>Gloucestershire and Wiltshire</t>
  </si>
  <si>
    <t>TLK7</t>
  </si>
  <si>
    <t>Dorset</t>
  </si>
  <si>
    <t>TLK64</t>
  </si>
  <si>
    <t>Bournemouth, Christchurch and Poole</t>
  </si>
  <si>
    <t>TLK63</t>
  </si>
  <si>
    <t>Somerset</t>
  </si>
  <si>
    <t>TLK62</t>
  </si>
  <si>
    <t>North Somerset</t>
  </si>
  <si>
    <t>TLK61</t>
  </si>
  <si>
    <t>North Somerset, Somerset and Dorset</t>
  </si>
  <si>
    <t>TLK6</t>
  </si>
  <si>
    <t>Bath &amp; North East Somerset and South Gloucestershire</t>
  </si>
  <si>
    <t>TLK52</t>
  </si>
  <si>
    <t>Bristol, City of</t>
  </si>
  <si>
    <t>TLK51</t>
  </si>
  <si>
    <t>West of England</t>
  </si>
  <si>
    <t>TLK5</t>
  </si>
  <si>
    <t>Devon CC</t>
  </si>
  <si>
    <t>TLK43</t>
  </si>
  <si>
    <t>Torbay</t>
  </si>
  <si>
    <t>TLK42</t>
  </si>
  <si>
    <t>Plymouth</t>
  </si>
  <si>
    <t>TLK41</t>
  </si>
  <si>
    <t>Devon</t>
  </si>
  <si>
    <t>TLK4</t>
  </si>
  <si>
    <t>Cornwall and Isles of Scilly</t>
  </si>
  <si>
    <t>TLK30</t>
  </si>
  <si>
    <t>TLK3</t>
  </si>
  <si>
    <t>South West</t>
  </si>
  <si>
    <t>TLK</t>
  </si>
  <si>
    <t>West Kent</t>
  </si>
  <si>
    <t>TLJ46</t>
  </si>
  <si>
    <t>Mid Kent</t>
  </si>
  <si>
    <t>TLJ45</t>
  </si>
  <si>
    <t>East Kent</t>
  </si>
  <si>
    <t>TLJ44</t>
  </si>
  <si>
    <t>Kent Thames Gateway</t>
  </si>
  <si>
    <t>TLJ43</t>
  </si>
  <si>
    <t>Medway</t>
  </si>
  <si>
    <t>TLJ41</t>
  </si>
  <si>
    <t>Kent</t>
  </si>
  <si>
    <t>TLJ4</t>
  </si>
  <si>
    <t>North Hampshire</t>
  </si>
  <si>
    <t>TLJ37</t>
  </si>
  <si>
    <t>Central Hampshire</t>
  </si>
  <si>
    <t>TLJ36</t>
  </si>
  <si>
    <t>South Hampshire</t>
  </si>
  <si>
    <t>TLJ35</t>
  </si>
  <si>
    <t>Isle of Wight</t>
  </si>
  <si>
    <t>TLJ34</t>
  </si>
  <si>
    <t>Southampton</t>
  </si>
  <si>
    <t>TLJ32</t>
  </si>
  <si>
    <t>Portsmouth</t>
  </si>
  <si>
    <t>TLJ31</t>
  </si>
  <si>
    <t>Hampshire and Isle of Wight</t>
  </si>
  <si>
    <t>TLJ3</t>
  </si>
  <si>
    <t>West Sussex (North East)</t>
  </si>
  <si>
    <t>TLJ28</t>
  </si>
  <si>
    <t>West Sussex (South West)</t>
  </si>
  <si>
    <t>TLJ27</t>
  </si>
  <si>
    <t>East Surrey</t>
  </si>
  <si>
    <t>TLJ26</t>
  </si>
  <si>
    <t>West Surrey</t>
  </si>
  <si>
    <t>TLJ25</t>
  </si>
  <si>
    <t>East Sussex CC</t>
  </si>
  <si>
    <t>TLJ22</t>
  </si>
  <si>
    <t>Brighton and Hove</t>
  </si>
  <si>
    <t>TLJ21</t>
  </si>
  <si>
    <t>Surrey, East and West Sussex</t>
  </si>
  <si>
    <t>TLJ2</t>
  </si>
  <si>
    <t>Berkshire West</t>
  </si>
  <si>
    <t>TLJ16</t>
  </si>
  <si>
    <t>Berkshire East</t>
  </si>
  <si>
    <t>TLJ15</t>
  </si>
  <si>
    <t>Oxfordshire CC</t>
  </si>
  <si>
    <t>TLJ14</t>
  </si>
  <si>
    <t>Buckinghamshire</t>
  </si>
  <si>
    <t>TLJ13</t>
  </si>
  <si>
    <t>Milton Keynes</t>
  </si>
  <si>
    <t>TLJ12</t>
  </si>
  <si>
    <t>Berkshire, Buckinghamshire and Oxfordshire</t>
  </si>
  <si>
    <t>TLJ1</t>
  </si>
  <si>
    <t>South East</t>
  </si>
  <si>
    <t>TLJ</t>
  </si>
  <si>
    <t>Hounslow and Richmond upon Thames</t>
  </si>
  <si>
    <t>TLI75</t>
  </si>
  <si>
    <t>Harrow and Hillingdon</t>
  </si>
  <si>
    <t>TLI74</t>
  </si>
  <si>
    <t>Ealing</t>
  </si>
  <si>
    <t>TLI73</t>
  </si>
  <si>
    <t>Brent</t>
  </si>
  <si>
    <t>TLI72</t>
  </si>
  <si>
    <t>Barnet</t>
  </si>
  <si>
    <t>TLI71</t>
  </si>
  <si>
    <t>Outer London - West and North West</t>
  </si>
  <si>
    <t>TLI7</t>
  </si>
  <si>
    <t>Merton, Kingston upon Thames and Sutton</t>
  </si>
  <si>
    <t>TLI63</t>
  </si>
  <si>
    <t>Croydon</t>
  </si>
  <si>
    <t>TLI62</t>
  </si>
  <si>
    <t>Bromley</t>
  </si>
  <si>
    <t>TLI61</t>
  </si>
  <si>
    <t>Outer London - South</t>
  </si>
  <si>
    <t>TLI6</t>
  </si>
  <si>
    <t>Enfield</t>
  </si>
  <si>
    <t>TLI54</t>
  </si>
  <si>
    <t>Redbridge and Waltham Forest</t>
  </si>
  <si>
    <t>TLI53</t>
  </si>
  <si>
    <t>Barking &amp; Dagenham and Havering</t>
  </si>
  <si>
    <t>TLI52</t>
  </si>
  <si>
    <t>Bexley and Greenwich</t>
  </si>
  <si>
    <t>TLI51</t>
  </si>
  <si>
    <t>Outer London - East and North East</t>
  </si>
  <si>
    <t>TLI5</t>
  </si>
  <si>
    <t>Lambeth</t>
  </si>
  <si>
    <t>TLI45</t>
  </si>
  <si>
    <t>Lewisham and Southwark</t>
  </si>
  <si>
    <t>TLI44</t>
  </si>
  <si>
    <t>Haringey and Islington</t>
  </si>
  <si>
    <t>TLI43</t>
  </si>
  <si>
    <t>Tower Hamlets</t>
  </si>
  <si>
    <t>TLI42</t>
  </si>
  <si>
    <t>Hackney and Newham</t>
  </si>
  <si>
    <t>TLI41</t>
  </si>
  <si>
    <t>Inner London - East</t>
  </si>
  <si>
    <t>TLI4</t>
  </si>
  <si>
    <t>Camden</t>
  </si>
  <si>
    <t>TLI36</t>
  </si>
  <si>
    <t>Westminster and City of London</t>
  </si>
  <si>
    <t>TLI35</t>
  </si>
  <si>
    <t>Wandsworth</t>
  </si>
  <si>
    <t>TLI34</t>
  </si>
  <si>
    <t>Kensington &amp; Chelsea and Hammersmith &amp; Fulham</t>
  </si>
  <si>
    <t>TLI33</t>
  </si>
  <si>
    <t>Inner London - West</t>
  </si>
  <si>
    <t>TLI3</t>
  </si>
  <si>
    <t>London</t>
  </si>
  <si>
    <t>TLI</t>
  </si>
  <si>
    <t>West Suffolk</t>
  </si>
  <si>
    <t>TLH64</t>
  </si>
  <si>
    <t>East Suffolk</t>
  </si>
  <si>
    <t>TLH63</t>
  </si>
  <si>
    <t>Ipswich</t>
  </si>
  <si>
    <t>TLH62</t>
  </si>
  <si>
    <t>Babergh and Mid Suffolk</t>
  </si>
  <si>
    <t>TLH61</t>
  </si>
  <si>
    <t>Suffolk</t>
  </si>
  <si>
    <t>TLH6</t>
  </si>
  <si>
    <t>Breckland and South Norfolk</t>
  </si>
  <si>
    <t>TLH53</t>
  </si>
  <si>
    <t>North and West Norfolk</t>
  </si>
  <si>
    <t>TLH52</t>
  </si>
  <si>
    <t>Norwich and East Norfolk</t>
  </si>
  <si>
    <t>TLH51</t>
  </si>
  <si>
    <t>Norfolk</t>
  </si>
  <si>
    <t>TLH5</t>
  </si>
  <si>
    <t>Cambridgeshire CC</t>
  </si>
  <si>
    <t>TLH42</t>
  </si>
  <si>
    <t>Peterborough</t>
  </si>
  <si>
    <t>TLH41</t>
  </si>
  <si>
    <t>Cambridgeshire and Peterborough</t>
  </si>
  <si>
    <t>TLH4</t>
  </si>
  <si>
    <t>Essex Thames Gateway</t>
  </si>
  <si>
    <t>TLH37</t>
  </si>
  <si>
    <t>Heart of Essex</t>
  </si>
  <si>
    <t>TLH36</t>
  </si>
  <si>
    <t>West Essex</t>
  </si>
  <si>
    <t>TLH35</t>
  </si>
  <si>
    <t>Essex Haven Gateway</t>
  </si>
  <si>
    <t>TLH34</t>
  </si>
  <si>
    <t>Thurrock</t>
  </si>
  <si>
    <t>TLH32</t>
  </si>
  <si>
    <t>Southend-on-Sea</t>
  </si>
  <si>
    <t>TLH31</t>
  </si>
  <si>
    <t>Essex</t>
  </si>
  <si>
    <t>TLH3</t>
  </si>
  <si>
    <t>South West Hertfordshire</t>
  </si>
  <si>
    <t>TLH27</t>
  </si>
  <si>
    <t>North and East Hertfordshire</t>
  </si>
  <si>
    <t>TLH26</t>
  </si>
  <si>
    <t>Central Bedfordshire</t>
  </si>
  <si>
    <t>TLH25</t>
  </si>
  <si>
    <t>Bedford</t>
  </si>
  <si>
    <t>TLH24</t>
  </si>
  <si>
    <t>Luton</t>
  </si>
  <si>
    <t>TLH21</t>
  </si>
  <si>
    <t>Bedfordshire and Hertfordshire</t>
  </si>
  <si>
    <t>TLH2</t>
  </si>
  <si>
    <t>East</t>
  </si>
  <si>
    <t>TLH</t>
  </si>
  <si>
    <t>Wolverhampton</t>
  </si>
  <si>
    <t>TLG39</t>
  </si>
  <si>
    <t>Walsall</t>
  </si>
  <si>
    <t>TLG38</t>
  </si>
  <si>
    <t>Sandwell</t>
  </si>
  <si>
    <t>TLG37</t>
  </si>
  <si>
    <t>Dudley</t>
  </si>
  <si>
    <t>TLG36</t>
  </si>
  <si>
    <t>Coventry</t>
  </si>
  <si>
    <t>TLG33</t>
  </si>
  <si>
    <t>Solihull</t>
  </si>
  <si>
    <t>TLG32</t>
  </si>
  <si>
    <t>Birmingham</t>
  </si>
  <si>
    <t>TLG31</t>
  </si>
  <si>
    <t>West Midlands</t>
  </si>
  <si>
    <t>TLG3</t>
  </si>
  <si>
    <t>Staffordshire CC</t>
  </si>
  <si>
    <t>TLG24</t>
  </si>
  <si>
    <t>Stoke-on-Trent</t>
  </si>
  <si>
    <t>TLG23</t>
  </si>
  <si>
    <t>Shropshire</t>
  </si>
  <si>
    <t>TLG22</t>
  </si>
  <si>
    <t>Telford and Wrekin</t>
  </si>
  <si>
    <t>TLG21</t>
  </si>
  <si>
    <t>Shropshire and Staffordshire</t>
  </si>
  <si>
    <t>TLG2</t>
  </si>
  <si>
    <t>Warwickshire CC</t>
  </si>
  <si>
    <t>TLG13</t>
  </si>
  <si>
    <t>Worcestershire CC</t>
  </si>
  <si>
    <t>TLG12</t>
  </si>
  <si>
    <t>Herefordshire, County of</t>
  </si>
  <si>
    <t>TLG11</t>
  </si>
  <si>
    <t>Herefordshire, Worcestershire and Warwickshire</t>
  </si>
  <si>
    <t>TLG1</t>
  </si>
  <si>
    <t>TLG</t>
  </si>
  <si>
    <t>Lincolnshire CC</t>
  </si>
  <si>
    <t>TLF30</t>
  </si>
  <si>
    <t>Lincolnshire</t>
  </si>
  <si>
    <t>TLF3</t>
  </si>
  <si>
    <t>North Northamptonshire</t>
  </si>
  <si>
    <t>TLF25</t>
  </si>
  <si>
    <t>West Northamptonshire</t>
  </si>
  <si>
    <t>TLF24</t>
  </si>
  <si>
    <t>Leicestershire CC and Rutland</t>
  </si>
  <si>
    <t>TLF22</t>
  </si>
  <si>
    <t>Leicester</t>
  </si>
  <si>
    <t>TLF21</t>
  </si>
  <si>
    <t>Leicestershire, Rutland and Northamptonshire</t>
  </si>
  <si>
    <t>TLF2</t>
  </si>
  <si>
    <t>South Nottinghamshire</t>
  </si>
  <si>
    <t>TLF16</t>
  </si>
  <si>
    <t>North Nottinghamshire</t>
  </si>
  <si>
    <t>TLF15</t>
  </si>
  <si>
    <t>Nottingham</t>
  </si>
  <si>
    <t>TLF14</t>
  </si>
  <si>
    <t>South and West Derbyshire</t>
  </si>
  <si>
    <t>TLF13</t>
  </si>
  <si>
    <t>East Derbyshire</t>
  </si>
  <si>
    <t>TLF12</t>
  </si>
  <si>
    <t>Derby</t>
  </si>
  <si>
    <t>TLF11</t>
  </si>
  <si>
    <t>Derbyshire and Nottinghamshire</t>
  </si>
  <si>
    <t>TLF1</t>
  </si>
  <si>
    <t>East Midlands</t>
  </si>
  <si>
    <t>TLF</t>
  </si>
  <si>
    <t>Wakefield</t>
  </si>
  <si>
    <t>TLE45</t>
  </si>
  <si>
    <t>Calderdale and Kirklees</t>
  </si>
  <si>
    <t>TLE44</t>
  </si>
  <si>
    <t>Leeds</t>
  </si>
  <si>
    <t>TLE42</t>
  </si>
  <si>
    <t>Bradford</t>
  </si>
  <si>
    <t>TLE41</t>
  </si>
  <si>
    <t>West Yorkshire</t>
  </si>
  <si>
    <t>TLE4</t>
  </si>
  <si>
    <t>Doncaster</t>
  </si>
  <si>
    <t>TLE35</t>
  </si>
  <si>
    <t>Rotherham</t>
  </si>
  <si>
    <t>TLE34</t>
  </si>
  <si>
    <t>Barnsley</t>
  </si>
  <si>
    <t>TLE33</t>
  </si>
  <si>
    <t>Sheffield</t>
  </si>
  <si>
    <t>TLE32</t>
  </si>
  <si>
    <t>South Yorkshire</t>
  </si>
  <si>
    <t>TLE3</t>
  </si>
  <si>
    <t>North Yorkshire</t>
  </si>
  <si>
    <t>TLE22</t>
  </si>
  <si>
    <t>York</t>
  </si>
  <si>
    <t>TLE21</t>
  </si>
  <si>
    <t>TLE2</t>
  </si>
  <si>
    <t>North and North East Lincolnshire</t>
  </si>
  <si>
    <t>TLE13</t>
  </si>
  <si>
    <t>East Riding of Yorkshire</t>
  </si>
  <si>
    <t>TLE12</t>
  </si>
  <si>
    <t>Kingston upon Hull, City of</t>
  </si>
  <si>
    <t>TLE11</t>
  </si>
  <si>
    <t>East Yorkshire and Northern Lincolnshire</t>
  </si>
  <si>
    <t>TLE1</t>
  </si>
  <si>
    <t>Yorkshire and The Humber</t>
  </si>
  <si>
    <t>TLE</t>
  </si>
  <si>
    <t>Wirral</t>
  </si>
  <si>
    <t>TLD74</t>
  </si>
  <si>
    <t>Sefton</t>
  </si>
  <si>
    <t>TLD73</t>
  </si>
  <si>
    <t>Liverpool</t>
  </si>
  <si>
    <t>TLD72</t>
  </si>
  <si>
    <t>East Merseyside</t>
  </si>
  <si>
    <t>TLD71</t>
  </si>
  <si>
    <t>Merseyside</t>
  </si>
  <si>
    <t>TLD7</t>
  </si>
  <si>
    <t>Cheshire West and Chester</t>
  </si>
  <si>
    <t>TLD63</t>
  </si>
  <si>
    <t>Cheshire East</t>
  </si>
  <si>
    <t>TLD62</t>
  </si>
  <si>
    <t>Warrington</t>
  </si>
  <si>
    <t>TLD61</t>
  </si>
  <si>
    <t>Cheshire</t>
  </si>
  <si>
    <t>TLD6</t>
  </si>
  <si>
    <t>Chorley and West Lancashire</t>
  </si>
  <si>
    <t>TLD47</t>
  </si>
  <si>
    <t>East Lancashire</t>
  </si>
  <si>
    <t>TLD46</t>
  </si>
  <si>
    <t>Mid Lancashire</t>
  </si>
  <si>
    <t>TLD45</t>
  </si>
  <si>
    <t>Lancaster and Wyre</t>
  </si>
  <si>
    <t>TLD44</t>
  </si>
  <si>
    <t>Blackpool</t>
  </si>
  <si>
    <t>TLD42</t>
  </si>
  <si>
    <t>Blackburn with Darwen</t>
  </si>
  <si>
    <t>TLD41</t>
  </si>
  <si>
    <t>Lancashire</t>
  </si>
  <si>
    <t>TLD4</t>
  </si>
  <si>
    <t>Greater Manchester North East</t>
  </si>
  <si>
    <t>TLD37</t>
  </si>
  <si>
    <t>Greater Manchester North West</t>
  </si>
  <si>
    <t>TLD36</t>
  </si>
  <si>
    <t>Greater Manchester South East</t>
  </si>
  <si>
    <t>TLD35</t>
  </si>
  <si>
    <t>Greater Manchester South West</t>
  </si>
  <si>
    <t>TLD34</t>
  </si>
  <si>
    <t>Manchester</t>
  </si>
  <si>
    <t>TLD33</t>
  </si>
  <si>
    <t>Greater Manchester</t>
  </si>
  <si>
    <t>TLD3</t>
  </si>
  <si>
    <t>Westmorland and Furness</t>
  </si>
  <si>
    <t>TLD14</t>
  </si>
  <si>
    <t>Cumberland</t>
  </si>
  <si>
    <t>TLD13</t>
  </si>
  <si>
    <t>Cumbria</t>
  </si>
  <si>
    <t>TLD1</t>
  </si>
  <si>
    <t>North West</t>
  </si>
  <si>
    <t>TLD</t>
  </si>
  <si>
    <t>Sunderland</t>
  </si>
  <si>
    <t>TLC44</t>
  </si>
  <si>
    <t>Tyneside</t>
  </si>
  <si>
    <t>TLC43</t>
  </si>
  <si>
    <t>Northumberland</t>
  </si>
  <si>
    <t>TLC42</t>
  </si>
  <si>
    <t>Durham</t>
  </si>
  <si>
    <t>TLC41</t>
  </si>
  <si>
    <t>Northumberland, Durham and Tyne &amp; Wear</t>
  </si>
  <si>
    <t>TLC4</t>
  </si>
  <si>
    <t>Darlington</t>
  </si>
  <si>
    <t>TLC33</t>
  </si>
  <si>
    <t>South Teesside</t>
  </si>
  <si>
    <t>TLC32</t>
  </si>
  <si>
    <t>Hartlepool and Stockton-on-Tees</t>
  </si>
  <si>
    <t>TLC31</t>
  </si>
  <si>
    <t>Tees Valley</t>
  </si>
  <si>
    <t>TLC3</t>
  </si>
  <si>
    <t>North East</t>
  </si>
  <si>
    <t>TLC</t>
  </si>
  <si>
    <t>2001-2011 growth rate</t>
  </si>
  <si>
    <t>2001-2021 growth rate</t>
  </si>
  <si>
    <t>Greater London</t>
  </si>
  <si>
    <t>Kingston upon Hull</t>
  </si>
  <si>
    <t>Bristol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</si>
</sst>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00"/>
    <numFmt numFmtId="166" formatCode="#,##0.00000000"/>
    <numFmt numFmtId="167" formatCode="#,##0.000000000"/>
  </numFmts>
  <fonts count="32" x14ac:knownFonts="1">
    <font>
      <sz val="10"/>
      <name val="Arial"/>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8"/>
      <color theme="3"/>
      <name val="Calibri Light"/>
      <family val="2"/>
      <scheme val="major"/>
    </font>
    <font>
      <b/>
      <sz val="15"/>
      <color theme="3"/>
      <name val="Arial"/>
      <family val="2"/>
    </font>
    <font>
      <b/>
      <sz val="13"/>
      <color theme="3"/>
      <name val="Arial"/>
      <family val="2"/>
    </font>
    <font>
      <b/>
      <sz val="11"/>
      <color theme="3"/>
      <name val="Arial"/>
      <family val="2"/>
    </font>
    <font>
      <sz val="12"/>
      <color rgb="FF006100"/>
      <name val="Arial"/>
      <family val="2"/>
    </font>
    <font>
      <sz val="12"/>
      <color rgb="FF9C0006"/>
      <name val="Arial"/>
      <family val="2"/>
    </font>
    <font>
      <sz val="12"/>
      <color rgb="FF9C5700"/>
      <name val="Arial"/>
      <family val="2"/>
    </font>
    <font>
      <sz val="12"/>
      <color rgb="FF3F3F76"/>
      <name val="Arial"/>
      <family val="2"/>
    </font>
    <font>
      <b/>
      <sz val="12"/>
      <color rgb="FF3F3F3F"/>
      <name val="Arial"/>
      <family val="2"/>
    </font>
    <font>
      <b/>
      <sz val="12"/>
      <color rgb="FFFA7D00"/>
      <name val="Arial"/>
      <family val="2"/>
    </font>
    <font>
      <sz val="12"/>
      <color rgb="FFFA7D00"/>
      <name val="Arial"/>
      <family val="2"/>
    </font>
    <font>
      <b/>
      <sz val="12"/>
      <color theme="0"/>
      <name val="Arial"/>
      <family val="2"/>
    </font>
    <font>
      <sz val="12"/>
      <color rgb="FFFF0000"/>
      <name val="Arial"/>
      <family val="2"/>
    </font>
    <font>
      <i/>
      <sz val="12"/>
      <color rgb="FF7F7F7F"/>
      <name val="Arial"/>
      <family val="2"/>
    </font>
    <font>
      <b/>
      <sz val="12"/>
      <color theme="1"/>
      <name val="Arial"/>
      <family val="2"/>
    </font>
    <font>
      <sz val="12"/>
      <color theme="0"/>
      <name val="Arial"/>
      <family val="2"/>
    </font>
    <font>
      <b/>
      <sz val="14"/>
      <name val="Arial"/>
      <family val="2"/>
    </font>
    <font>
      <sz val="12"/>
      <name val="Arial"/>
      <family val="2"/>
    </font>
    <font>
      <sz val="12"/>
      <name val="Calibri"/>
      <family val="2"/>
      <scheme val="minor"/>
    </font>
    <font>
      <b/>
      <sz val="14"/>
      <color theme="1"/>
      <name val="Arial"/>
      <family val="2"/>
    </font>
    <font>
      <u/>
      <sz val="10"/>
      <color theme="10"/>
      <name val="Arial"/>
      <family val="2"/>
    </font>
    <font>
      <u/>
      <sz val="12"/>
      <color theme="10"/>
      <name val="Arial"/>
      <family val="2"/>
    </font>
    <font>
      <sz val="10"/>
      <name val="Arial"/>
      <family val="2"/>
    </font>
    <font>
      <b/>
      <sz val="12"/>
      <name val="Arial"/>
      <family val="2"/>
    </font>
    <font>
      <sz val="14"/>
      <name val="Arial"/>
      <family val="2"/>
    </font>
    <font>
      <sz val="8"/>
      <name val="Arial"/>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theme="4"/>
        <bgColor indexed="64"/>
      </patternFill>
    </fill>
    <fill>
      <patternFill patternType="solid">
        <fgColor theme="4" tint="0.39997558519241921"/>
        <bgColor indexed="64"/>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8">
    <xf numFmtId="0" fontId="0" fillId="0" borderId="0"/>
    <xf numFmtId="0" fontId="6" fillId="0" borderId="0" applyNumberFormat="0" applyFill="0" applyBorder="0" applyAlignment="0" applyProtection="0"/>
    <xf numFmtId="0" fontId="7" fillId="0" borderId="1" applyNumberFormat="0" applyFill="0" applyAlignment="0" applyProtection="0"/>
    <xf numFmtId="0" fontId="8" fillId="0" borderId="2" applyNumberFormat="0" applyFill="0" applyAlignment="0" applyProtection="0"/>
    <xf numFmtId="0" fontId="9" fillId="0" borderId="3" applyNumberFormat="0" applyFill="0" applyAlignment="0" applyProtection="0"/>
    <xf numFmtId="0" fontId="9" fillId="0" borderId="0" applyNumberFormat="0" applyFill="0" applyBorder="0" applyAlignment="0" applyProtection="0"/>
    <xf numFmtId="0" fontId="10" fillId="2" borderId="0" applyNumberFormat="0" applyBorder="0" applyAlignment="0" applyProtection="0"/>
    <xf numFmtId="0" fontId="11" fillId="3" borderId="0" applyNumberFormat="0" applyBorder="0" applyAlignment="0" applyProtection="0"/>
    <xf numFmtId="0" fontId="12" fillId="4" borderId="0" applyNumberFormat="0" applyBorder="0" applyAlignment="0" applyProtection="0"/>
    <xf numFmtId="0" fontId="13" fillId="5" borderId="4" applyNumberFormat="0" applyAlignment="0" applyProtection="0"/>
    <xf numFmtId="0" fontId="14" fillId="6" borderId="5" applyNumberFormat="0" applyAlignment="0" applyProtection="0"/>
    <xf numFmtId="0" fontId="15" fillId="6" borderId="4" applyNumberFormat="0" applyAlignment="0" applyProtection="0"/>
    <xf numFmtId="0" fontId="16" fillId="0" borderId="6" applyNumberFormat="0" applyFill="0" applyAlignment="0" applyProtection="0"/>
    <xf numFmtId="0" fontId="17" fillId="7" borderId="7" applyNumberFormat="0" applyAlignment="0" applyProtection="0"/>
    <xf numFmtId="0" fontId="18" fillId="0" borderId="0" applyNumberFormat="0" applyFill="0" applyBorder="0" applyAlignment="0" applyProtection="0"/>
    <xf numFmtId="0" fontId="5" fillId="8" borderId="8" applyNumberFormat="0" applyFont="0" applyAlignment="0" applyProtection="0"/>
    <xf numFmtId="0" fontId="19" fillId="0" borderId="0" applyNumberFormat="0" applyFill="0" applyBorder="0" applyAlignment="0" applyProtection="0"/>
    <xf numFmtId="0" fontId="20" fillId="0" borderId="9" applyNumberFormat="0" applyFill="0" applyAlignment="0" applyProtection="0"/>
    <xf numFmtId="0" fontId="21"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21"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21"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21"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21"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21" fillId="29"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4" fillId="0" borderId="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3" fillId="0" borderId="0"/>
    <xf numFmtId="0" fontId="1" fillId="11" borderId="0" applyNumberFormat="0" applyBorder="0" applyAlignment="0" applyProtection="0"/>
  </cellStyleXfs>
  <cellXfs count="68">
    <xf numFmtId="0" fontId="0" fillId="0" borderId="0" xfId="0"/>
    <xf numFmtId="0" fontId="25" fillId="0" borderId="0" xfId="42" applyFont="1" applyAlignment="1">
      <alignment wrapText="1"/>
    </xf>
    <xf numFmtId="0" fontId="4" fillId="0" borderId="0" xfId="42"/>
    <xf numFmtId="0" fontId="4" fillId="0" borderId="0" xfId="42" applyAlignment="1">
      <alignment wrapText="1"/>
    </xf>
    <xf numFmtId="0" fontId="20" fillId="0" borderId="0" xfId="42" applyFont="1" applyAlignment="1">
      <alignment wrapText="1"/>
    </xf>
    <xf numFmtId="0" fontId="4" fillId="0" borderId="0" xfId="42" applyAlignment="1">
      <alignment horizontal="left" wrapText="1"/>
    </xf>
    <xf numFmtId="0" fontId="27" fillId="0" borderId="0" xfId="44" applyAlignment="1">
      <alignment wrapText="1"/>
    </xf>
    <xf numFmtId="0" fontId="23" fillId="0" borderId="0" xfId="0" applyFont="1"/>
    <xf numFmtId="0" fontId="29" fillId="0" borderId="0" xfId="0" applyFont="1" applyAlignment="1">
      <alignment vertical="top"/>
    </xf>
    <xf numFmtId="0" fontId="22" fillId="0" borderId="0" xfId="0" applyFont="1"/>
    <xf numFmtId="0" fontId="27" fillId="0" borderId="0" xfId="45" applyFont="1" applyAlignment="1">
      <alignment wrapText="1"/>
    </xf>
    <xf numFmtId="0" fontId="27" fillId="0" borderId="0" xfId="45" applyFont="1" applyFill="1"/>
    <xf numFmtId="0" fontId="25" fillId="0" borderId="0" xfId="46" applyFont="1"/>
    <xf numFmtId="0" fontId="20" fillId="0" borderId="0" xfId="46" applyFont="1"/>
    <xf numFmtId="0" fontId="3" fillId="0" borderId="0" xfId="46"/>
    <xf numFmtId="0" fontId="3" fillId="0" borderId="0" xfId="46" applyAlignment="1">
      <alignment vertical="top"/>
    </xf>
    <xf numFmtId="0" fontId="3" fillId="0" borderId="0" xfId="46" applyAlignment="1">
      <alignment vertical="top" wrapText="1"/>
    </xf>
    <xf numFmtId="0" fontId="3" fillId="0" borderId="0" xfId="46" applyAlignment="1">
      <alignment wrapText="1"/>
    </xf>
    <xf numFmtId="0" fontId="0" fillId="0" borderId="0" xfId="0" applyAlignment="1">
      <alignment vertical="top" wrapText="1"/>
    </xf>
    <xf numFmtId="0" fontId="23" fillId="0" borderId="0" xfId="0" applyFont="1" applyAlignment="1">
      <alignment vertical="top" wrapText="1"/>
    </xf>
    <xf numFmtId="0" fontId="30" fillId="0" borderId="0" xfId="0" applyFont="1"/>
    <xf numFmtId="0" fontId="28" fillId="0" borderId="0" xfId="0" applyFont="1"/>
    <xf numFmtId="0" fontId="29" fillId="0" borderId="0" xfId="0" applyFont="1"/>
    <xf numFmtId="0" fontId="22" fillId="33" borderId="0" xfId="42" applyFont="1" applyFill="1" applyAlignment="1">
      <alignment vertical="top"/>
    </xf>
    <xf numFmtId="0" fontId="23" fillId="33" borderId="0" xfId="42" applyFont="1" applyFill="1"/>
    <xf numFmtId="0" fontId="23" fillId="33" borderId="0" xfId="0" applyFont="1" applyFill="1" applyAlignment="1">
      <alignment wrapText="1"/>
    </xf>
    <xf numFmtId="0" fontId="24" fillId="33" borderId="0" xfId="0" applyFont="1" applyFill="1" applyAlignment="1">
      <alignment wrapText="1"/>
    </xf>
    <xf numFmtId="0" fontId="23" fillId="33" borderId="0" xfId="42" applyFont="1" applyFill="1" applyAlignment="1">
      <alignment wrapText="1"/>
    </xf>
    <xf numFmtId="0" fontId="25" fillId="33" borderId="0" xfId="42" applyFont="1" applyFill="1" applyAlignment="1">
      <alignment wrapText="1"/>
    </xf>
    <xf numFmtId="0" fontId="2" fillId="33" borderId="0" xfId="42" applyFont="1" applyFill="1" applyAlignment="1">
      <alignment vertical="top" wrapText="1"/>
    </xf>
    <xf numFmtId="0" fontId="4" fillId="33" borderId="0" xfId="42" applyFill="1"/>
    <xf numFmtId="0" fontId="4" fillId="33" borderId="0" xfId="42" applyFill="1" applyAlignment="1">
      <alignment wrapText="1"/>
    </xf>
    <xf numFmtId="0" fontId="20" fillId="33" borderId="0" xfId="42" applyFont="1" applyFill="1" applyAlignment="1">
      <alignment wrapText="1"/>
    </xf>
    <xf numFmtId="0" fontId="1" fillId="33" borderId="0" xfId="42" applyFont="1" applyFill="1" applyAlignment="1">
      <alignment wrapText="1"/>
    </xf>
    <xf numFmtId="0" fontId="23" fillId="34" borderId="0" xfId="0" applyFont="1" applyFill="1" applyAlignment="1">
      <alignment vertical="center"/>
    </xf>
    <xf numFmtId="0" fontId="23" fillId="35" borderId="0" xfId="20" applyFont="1" applyFill="1" applyAlignment="1">
      <alignment vertical="center"/>
    </xf>
    <xf numFmtId="3" fontId="23" fillId="34" borderId="0" xfId="0" applyNumberFormat="1" applyFont="1" applyFill="1" applyAlignment="1">
      <alignment horizontal="right" vertical="center"/>
    </xf>
    <xf numFmtId="3" fontId="23" fillId="35" borderId="0" xfId="20" applyNumberFormat="1" applyFont="1" applyFill="1" applyAlignment="1">
      <alignment horizontal="right" vertical="center"/>
    </xf>
    <xf numFmtId="0" fontId="23" fillId="0" borderId="0" xfId="0" applyFont="1" applyAlignment="1">
      <alignment wrapText="1"/>
    </xf>
    <xf numFmtId="164" fontId="23" fillId="34" borderId="0" xfId="0" applyNumberFormat="1" applyFont="1" applyFill="1" applyAlignment="1">
      <alignment horizontal="right" vertical="center"/>
    </xf>
    <xf numFmtId="164" fontId="23" fillId="0" borderId="0" xfId="0" applyNumberFormat="1" applyFont="1" applyAlignment="1">
      <alignment horizontal="right" vertical="center"/>
    </xf>
    <xf numFmtId="0" fontId="23" fillId="35" borderId="0" xfId="47" applyFont="1" applyFill="1" applyAlignment="1">
      <alignment vertical="center"/>
    </xf>
    <xf numFmtId="164" fontId="23" fillId="35" borderId="0" xfId="47" applyNumberFormat="1" applyFont="1" applyFill="1" applyAlignment="1">
      <alignment horizontal="right" vertical="center"/>
    </xf>
    <xf numFmtId="164" fontId="23" fillId="0" borderId="0" xfId="47" applyNumberFormat="1" applyFont="1" applyFill="1" applyAlignment="1">
      <alignment horizontal="right" vertical="center"/>
    </xf>
    <xf numFmtId="3" fontId="23" fillId="0" borderId="0" xfId="0" applyNumberFormat="1" applyFont="1" applyAlignment="1">
      <alignment horizontal="right" vertical="center"/>
    </xf>
    <xf numFmtId="0" fontId="23" fillId="0" borderId="0" xfId="0" applyFont="1" applyAlignment="1">
      <alignment vertical="center"/>
    </xf>
    <xf numFmtId="0" fontId="1" fillId="0" borderId="0" xfId="0" applyFont="1" applyAlignment="1">
      <alignment vertical="center"/>
    </xf>
    <xf numFmtId="165" fontId="23" fillId="0" borderId="0" xfId="0" applyNumberFormat="1" applyFont="1" applyAlignment="1">
      <alignment horizontal="right" vertical="center"/>
    </xf>
    <xf numFmtId="164" fontId="23" fillId="36" borderId="0" xfId="0" applyNumberFormat="1" applyFont="1" applyFill="1" applyAlignment="1">
      <alignment horizontal="right" vertical="center"/>
    </xf>
    <xf numFmtId="0" fontId="23" fillId="36" borderId="0" xfId="0" applyFont="1" applyFill="1" applyAlignment="1">
      <alignment vertical="center"/>
    </xf>
    <xf numFmtId="164" fontId="23" fillId="11" borderId="0" xfId="47" applyNumberFormat="1" applyFont="1" applyAlignment="1">
      <alignment horizontal="right" vertical="center"/>
    </xf>
    <xf numFmtId="0" fontId="23" fillId="11" borderId="0" xfId="47" applyFont="1" applyAlignment="1">
      <alignment vertical="center"/>
    </xf>
    <xf numFmtId="3" fontId="23" fillId="36" borderId="0" xfId="0" applyNumberFormat="1" applyFont="1" applyFill="1" applyAlignment="1">
      <alignment horizontal="right" vertical="center"/>
    </xf>
    <xf numFmtId="0" fontId="23" fillId="0" borderId="0" xfId="0" applyFont="1" applyAlignment="1">
      <alignment horizontal="left" vertical="center"/>
    </xf>
    <xf numFmtId="0" fontId="23" fillId="36" borderId="0" xfId="0" applyFont="1" applyFill="1" applyAlignment="1">
      <alignment horizontal="left" vertical="center"/>
    </xf>
    <xf numFmtId="0" fontId="23" fillId="11" borderId="0" xfId="47" applyFont="1" applyAlignment="1">
      <alignment horizontal="left" vertical="center"/>
    </xf>
    <xf numFmtId="3" fontId="23" fillId="35" borderId="0" xfId="47" applyNumberFormat="1" applyFont="1" applyFill="1" applyAlignment="1">
      <alignment horizontal="right" vertical="center"/>
    </xf>
    <xf numFmtId="3" fontId="23" fillId="11" borderId="0" xfId="47" applyNumberFormat="1" applyFont="1" applyAlignment="1">
      <alignment horizontal="right" vertical="center"/>
    </xf>
    <xf numFmtId="166" fontId="23" fillId="34" borderId="0" xfId="0" applyNumberFormat="1" applyFont="1" applyFill="1" applyAlignment="1">
      <alignment horizontal="right" vertical="center"/>
    </xf>
    <xf numFmtId="166" fontId="23" fillId="35" borderId="0" xfId="47" applyNumberFormat="1" applyFont="1" applyFill="1" applyAlignment="1">
      <alignment horizontal="right" vertical="center"/>
    </xf>
    <xf numFmtId="166" fontId="23" fillId="11" borderId="0" xfId="47" applyNumberFormat="1" applyFont="1" applyAlignment="1">
      <alignment horizontal="right" vertical="center"/>
    </xf>
    <xf numFmtId="166" fontId="23" fillId="36" borderId="0" xfId="0" applyNumberFormat="1" applyFont="1" applyFill="1" applyAlignment="1">
      <alignment horizontal="right" vertical="center"/>
    </xf>
    <xf numFmtId="166" fontId="23" fillId="0" borderId="0" xfId="0" applyNumberFormat="1" applyFont="1" applyAlignment="1">
      <alignment horizontal="right" vertical="center"/>
    </xf>
    <xf numFmtId="167" fontId="23" fillId="34" borderId="0" xfId="0" applyNumberFormat="1" applyFont="1" applyFill="1" applyAlignment="1">
      <alignment horizontal="right" vertical="center"/>
    </xf>
    <xf numFmtId="167" fontId="23" fillId="35" borderId="0" xfId="47" applyNumberFormat="1" applyFont="1" applyFill="1" applyAlignment="1">
      <alignment horizontal="right" vertical="center"/>
    </xf>
    <xf numFmtId="167" fontId="23" fillId="11" borderId="0" xfId="47" applyNumberFormat="1" applyFont="1" applyAlignment="1">
      <alignment horizontal="right" vertical="center"/>
    </xf>
    <xf numFmtId="167" fontId="23" fillId="36" borderId="0" xfId="0" applyNumberFormat="1" applyFont="1" applyFill="1" applyAlignment="1">
      <alignment horizontal="right" vertical="center"/>
    </xf>
    <xf numFmtId="167" fontId="23" fillId="0" borderId="0" xfId="0" applyNumberFormat="1" applyFont="1" applyAlignment="1">
      <alignment horizontal="right" vertical="center"/>
    </xf>
  </cellXfs>
  <cellStyles count="48">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1 2" xfId="47" xr:uid="{EEBE8374-F874-4A76-9713-556F16AE2160}"/>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5" builtinId="8"/>
    <cellStyle name="Hyperlink 2" xfId="43" xr:uid="{F0F4DDAF-7DCC-4052-A136-9C1362B5024E}"/>
    <cellStyle name="Hyperlink 2 2" xfId="44" xr:uid="{2F76D415-BEEC-4F98-9AB5-878AC7F0484A}"/>
    <cellStyle name="Input" xfId="9" builtinId="20" customBuiltin="1"/>
    <cellStyle name="Linked Cell" xfId="12" builtinId="24" customBuiltin="1"/>
    <cellStyle name="Neutral" xfId="8" builtinId="28" customBuiltin="1"/>
    <cellStyle name="Normal" xfId="0" builtinId="0" customBuiltin="1"/>
    <cellStyle name="Normal 2" xfId="42" xr:uid="{FDE17BE5-FED5-4F57-BDC9-60BEF919B98F}"/>
    <cellStyle name="Normal 4" xfId="46" xr:uid="{8E54350C-F4FB-4A23-BA5D-6C4FA1D9865C}"/>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3">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sz val="12"/>
        <color theme="1"/>
        <family val="2"/>
      </font>
      <numFmt numFmtId="0" formatCode="General"/>
      <alignment horizontal="general" vertical="center" textRotation="0" wrapText="0" indent="0" justifyLastLine="0" shrinkToFit="0" readingOrder="0"/>
    </dxf>
    <dxf>
      <font>
        <sz val="12"/>
        <family val="2"/>
      </font>
      <numFmt numFmtId="0" formatCode="General"/>
      <alignment horizontal="general" vertical="center" textRotation="0" wrapText="0" indent="0" justifyLastLine="0" shrinkToFit="0" readingOrder="0"/>
    </dxf>
    <dxf>
      <font>
        <sz val="12"/>
        <family val="2"/>
      </font>
      <numFmt numFmtId="0" formatCode="General"/>
      <alignment horizontal="general" vertical="center" textRotation="0" wrapText="0" indent="0" justifyLastLine="0" shrinkToFit="0" readingOrder="0"/>
    </dxf>
    <dxf>
      <border outline="0">
        <bottom style="thin">
          <color theme="4"/>
        </bottom>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sz val="12"/>
        <color theme="1"/>
        <family val="2"/>
      </font>
      <numFmt numFmtId="0" formatCode="General"/>
      <alignment horizontal="general" vertical="center" textRotation="0" wrapText="0" indent="0" justifyLastLine="0" shrinkToFit="0" readingOrder="0"/>
    </dxf>
    <dxf>
      <font>
        <sz val="12"/>
        <family val="2"/>
      </font>
      <numFmt numFmtId="0" formatCode="General"/>
      <alignment horizontal="general" vertical="center" textRotation="0" wrapText="0" indent="0" justifyLastLine="0" shrinkToFit="0" readingOrder="0"/>
    </dxf>
    <dxf>
      <font>
        <sz val="12"/>
        <family val="2"/>
      </font>
      <numFmt numFmtId="0" formatCode="General"/>
      <alignment horizontal="general" vertical="center" textRotation="0" wrapText="0" indent="0" justifyLastLine="0" shrinkToFit="0" readingOrder="0"/>
    </dxf>
    <dxf>
      <border outline="0">
        <bottom style="thin">
          <color theme="4"/>
        </bottom>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0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0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0" formatCode="General"/>
      <alignment horizontal="general" vertical="center" textRotation="0" wrapText="0" indent="0" justifyLastLine="0" shrinkToFit="0" readingOrder="0"/>
    </dxf>
    <dxf>
      <font>
        <sz val="12"/>
        <color theme="1"/>
        <family val="2"/>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general" vertical="center" textRotation="0" wrapText="0" indent="0" justifyLastLine="0" shrinkToFit="0" readingOrder="0"/>
    </dxf>
    <dxf>
      <font>
        <sz val="12"/>
        <family val="2"/>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general" vertical="center" textRotation="0" wrapText="0" indent="0" justifyLastLine="0" shrinkToFit="0" readingOrder="0"/>
    </dxf>
    <dxf>
      <font>
        <sz val="12"/>
        <family val="2"/>
      </font>
      <numFmt numFmtId="0" formatCode="General"/>
      <alignment horizontal="general" vertical="center" textRotation="0" wrapText="0" indent="0" justifyLastLine="0" shrinkToFit="0" readingOrder="0"/>
    </dxf>
    <dxf>
      <border outline="0">
        <bottom style="thin">
          <color theme="4"/>
        </bottom>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numFmt numFmtId="167" formatCode="#,##0.000000000"/>
      <fill>
        <patternFill patternType="solid">
          <fgColor indexed="64"/>
          <bgColor theme="4"/>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sz val="12"/>
        <color theme="1"/>
        <family val="2"/>
      </font>
      <numFmt numFmtId="0" formatCode="General"/>
      <alignment horizontal="general" vertical="center" textRotation="0" wrapText="0" indent="0" justifyLastLine="0" shrinkToFit="0" readingOrder="0"/>
    </dxf>
    <dxf>
      <font>
        <sz val="12"/>
        <family val="2"/>
      </font>
      <numFmt numFmtId="0" formatCode="General"/>
      <alignment horizontal="general" vertical="center" textRotation="0" wrapText="0" indent="0" justifyLastLine="0" shrinkToFit="0" readingOrder="0"/>
    </dxf>
    <dxf>
      <font>
        <sz val="12"/>
        <family val="2"/>
      </font>
      <numFmt numFmtId="0" formatCode="General"/>
      <alignment horizontal="general" vertical="center" textRotation="0" wrapText="0" indent="0" justifyLastLine="0" shrinkToFit="0" readingOrder="0"/>
    </dxf>
    <dxf>
      <border outline="0">
        <bottom style="thin">
          <color rgb="FF4472C4"/>
        </bottom>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numFmt numFmtId="167" formatCode="#,##0.000000000"/>
      <fill>
        <patternFill patternType="solid">
          <fgColor indexed="64"/>
          <bgColor theme="4"/>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sz val="12"/>
        <color theme="1"/>
        <family val="2"/>
      </font>
      <numFmt numFmtId="0" formatCode="General"/>
      <alignment horizontal="general" vertical="center" textRotation="0" wrapText="0" indent="0" justifyLastLine="0" shrinkToFit="0" readingOrder="0"/>
    </dxf>
    <dxf>
      <font>
        <sz val="12"/>
        <family val="2"/>
      </font>
      <numFmt numFmtId="0" formatCode="General"/>
      <alignment horizontal="general" vertical="center" textRotation="0" wrapText="0" indent="0" justifyLastLine="0" shrinkToFit="0" readingOrder="0"/>
    </dxf>
    <dxf>
      <font>
        <sz val="12"/>
        <family val="2"/>
      </font>
      <numFmt numFmtId="0" formatCode="General"/>
      <alignment horizontal="general" vertical="center" textRotation="0" wrapText="0" indent="0" justifyLastLine="0" shrinkToFit="0" readingOrder="0"/>
    </dxf>
    <dxf>
      <border outline="0">
        <bottom style="thin">
          <color rgb="FF4472C4"/>
        </bottom>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sz val="12"/>
        <color theme="1"/>
        <family val="2"/>
      </font>
      <numFmt numFmtId="0" formatCode="General"/>
      <alignment horizontal="general" vertical="center" textRotation="0" wrapText="0" indent="0" justifyLastLine="0" shrinkToFit="0" readingOrder="0"/>
    </dxf>
    <dxf>
      <font>
        <sz val="12"/>
        <family val="2"/>
      </font>
      <numFmt numFmtId="0" formatCode="General"/>
      <alignment horizontal="general" vertical="center" textRotation="0" wrapText="0" indent="0" justifyLastLine="0" shrinkToFit="0" readingOrder="0"/>
    </dxf>
    <dxf>
      <font>
        <sz val="12"/>
        <family val="2"/>
      </font>
      <numFmt numFmtId="0" formatCode="General"/>
      <alignment horizontal="general" vertical="center" textRotation="0" wrapText="0" indent="0" justifyLastLine="0" shrinkToFit="0" readingOrder="0"/>
    </dxf>
    <dxf>
      <border outline="0">
        <bottom style="thin">
          <color theme="4"/>
        </bottom>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dxf>
  </dxfs>
  <tableStyles count="0" defaultPivotStyle="PivotStyleLight16"/>
  <colors>
    <mruColors>
      <color rgb="FFFFFFFF"/>
      <color rgb="FFDCE6F1"/>
      <color rgb="FFB8CCE4"/>
      <color rgb="FF95B3D7"/>
      <color rgb="FF4F81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43763F8-8490-4C2B-97C2-062F0D8BBEB7}" name="Table_11_with_Scotland_suppression4" displayName="Table_11_with_Scotland_suppression4" ref="A2:AC190" totalsRowShown="0" headerRowDxfId="172" dataDxfId="171" tableBorderDxfId="170">
  <autoFilter ref="A2:AC190" xr:uid="{28C7B069-4C56-420B-848D-96BE4827C319}"/>
  <tableColumns count="29">
    <tableColumn id="1" xr3:uid="{0AC808E8-B0AF-4DBE-AFF9-CFEEB9B8DC2B}" name="ITL" dataDxfId="169"/>
    <tableColumn id="2" xr3:uid="{19AEA885-BF83-4C41-8596-9B83E5636BB9}" name="ITL code" dataDxfId="168"/>
    <tableColumn id="3" xr3:uid="{519DF03F-1CD1-495E-B487-F94F4E05A26A}" name="Region name" dataDxfId="167"/>
    <tableColumn id="4" xr3:uid="{DF0A361A-2A4C-40F4-B449-A93EC232D2CC}" name="1998" dataDxfId="166"/>
    <tableColumn id="5" xr3:uid="{01C3FDBE-5BE6-40DE-A5BB-9551FA82AB53}" name="1999" dataDxfId="165"/>
    <tableColumn id="6" xr3:uid="{FEFFDAEC-DE00-4D32-8C29-4DEE84C61679}" name="2000" dataDxfId="164"/>
    <tableColumn id="7" xr3:uid="{246F6F10-BFD1-44A4-BC12-DA68F9BC433F}" name="2001" dataDxfId="163"/>
    <tableColumn id="8" xr3:uid="{1B0CC0B1-ACAA-4504-A5B6-BB20CBB4EC35}" name="2002" dataDxfId="162"/>
    <tableColumn id="9" xr3:uid="{20AA0BFD-E670-4185-A11F-B0D78CE7EDDB}" name="2003" dataDxfId="161"/>
    <tableColumn id="10" xr3:uid="{7A03E2D8-BC29-4D1B-902B-812D1C3D1625}" name="2004" dataDxfId="160"/>
    <tableColumn id="11" xr3:uid="{2CFA974A-C30E-4285-BE6A-CD5913C976F6}" name="2005" dataDxfId="159"/>
    <tableColumn id="12" xr3:uid="{57A74FDF-713A-4D0D-B461-5F783695F718}" name="2006" dataDxfId="158"/>
    <tableColumn id="13" xr3:uid="{5996184D-45D2-4007-AD29-081A7EACED76}" name="2007" dataDxfId="157"/>
    <tableColumn id="14" xr3:uid="{D3E10C72-D7F3-441A-9678-5C7696B4A375}" name="2008" dataDxfId="156"/>
    <tableColumn id="15" xr3:uid="{84B261B3-CD47-4173-BB38-D33653206215}" name="2009" dataDxfId="155"/>
    <tableColumn id="16" xr3:uid="{35EF6349-A2EB-467C-A181-F1A1AFD0EC3D}" name="2010" dataDxfId="154"/>
    <tableColumn id="17" xr3:uid="{44E91BAA-4668-4342-A40B-FE13B9346120}" name="2011" dataDxfId="153"/>
    <tableColumn id="18" xr3:uid="{C6329BD2-53AD-482D-889E-3AEE60066F5E}" name="2012" dataDxfId="152"/>
    <tableColumn id="19" xr3:uid="{08F06B88-439C-4E46-B077-61B01903D669}" name="2013" dataDxfId="151"/>
    <tableColumn id="20" xr3:uid="{0DFF1F88-B667-4953-A759-A2A9867DCBC3}" name="2014" dataDxfId="150"/>
    <tableColumn id="21" xr3:uid="{7EF2CC0D-7F47-4C6F-AF57-294FDED28125}" name="2015" dataDxfId="149"/>
    <tableColumn id="22" xr3:uid="{90AD3394-1218-41F3-B3F7-C5D9BBDF767D}" name="2016" dataDxfId="148"/>
    <tableColumn id="23" xr3:uid="{83069687-A258-4037-BC03-28652DC90F7A}" name="2017" dataDxfId="147"/>
    <tableColumn id="24" xr3:uid="{BDAF17FE-96D3-433A-B7F5-3966C89ABF9C}" name="2018" dataDxfId="146"/>
    <tableColumn id="25" xr3:uid="{84DAC006-BC39-404F-A07F-6C5303264348}" name="2019" dataDxfId="145"/>
    <tableColumn id="26" xr3:uid="{27019FD9-D494-4483-8158-7AFF4492431C}" name="2020" dataDxfId="144"/>
    <tableColumn id="27" xr3:uid="{65D8927B-9AD2-4528-AC08-C3FA410191DE}" name="2021" dataDxfId="143"/>
    <tableColumn id="28" xr3:uid="{20AEC47A-0FCF-4298-A2AD-A00DB3B24087}" name="2022" dataDxfId="142"/>
    <tableColumn id="29" xr3:uid="{52B2834D-493D-47D5-BF63-A46324D93BC6}" name="2023" dataDxfId="141"/>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25A5E5F-D86A-46D1-AE47-92B5299D9E67}" name="Table_11_with_Scotland_suppression45" displayName="Table_11_with_Scotland_suppression45" ref="A2:F190" totalsRowShown="0" headerRowDxfId="140" dataDxfId="139" tableBorderDxfId="138">
  <autoFilter ref="A2:F190" xr:uid="{28C7B069-4C56-420B-848D-96BE4827C319}"/>
  <tableColumns count="6">
    <tableColumn id="1" xr3:uid="{4167E3E3-AEFC-4700-AF4A-A68228EB4906}" name="ITL" dataDxfId="137"/>
    <tableColumn id="2" xr3:uid="{4ADB4D90-0ECC-4D2F-A812-10D8C71DE350}" name="ITL code" dataDxfId="136"/>
    <tableColumn id="3" xr3:uid="{82A7D4BF-DD73-4905-B32D-DFD056A6F1ED}" name="Region name" dataDxfId="135"/>
    <tableColumn id="7" xr3:uid="{6C930A00-4D7C-4A83-883E-69B4D5775976}" name="2001" dataDxfId="134"/>
    <tableColumn id="17" xr3:uid="{AD0CA9DC-3947-4B03-A8A1-F79C3626BD54}" name="2011" dataDxfId="133"/>
    <tableColumn id="27" xr3:uid="{5C18C884-FD3C-46B7-AD7A-CF1A1BB02820}" name="2001-2011 growth rate" dataDxfId="132">
      <calculatedColumnFormula>E3/D3</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9385752-C206-4C97-B1B2-95503397F29E}" name="Table_11_with_Scotland_suppression457" displayName="Table_11_with_Scotland_suppression457" ref="A2:F123" totalsRowShown="0" headerRowDxfId="131" dataDxfId="130" tableBorderDxfId="129">
  <autoFilter ref="A2:F123" xr:uid="{28C7B069-4C56-420B-848D-96BE4827C319}"/>
  <tableColumns count="6">
    <tableColumn id="1" xr3:uid="{BCD6C32A-D713-4C40-87A4-420010B47CB2}" name="ITL" dataDxfId="128"/>
    <tableColumn id="2" xr3:uid="{856A61E7-389B-4C36-A453-299B5B4F985D}" name="ITL code" dataDxfId="127"/>
    <tableColumn id="3" xr3:uid="{8BA54CDC-E0B7-4967-9A7D-F2CF818103DC}" name="Region name" dataDxfId="126"/>
    <tableColumn id="7" xr3:uid="{9CBB5644-6326-4A58-ACF8-C67EF028A8B5}" name="2001" dataDxfId="125"/>
    <tableColumn id="17" xr3:uid="{F13D65C6-1D8E-4C0B-B326-22EFF4BB2F06}" name="2011" dataDxfId="124"/>
    <tableColumn id="27" xr3:uid="{02F742E7-8573-4FAC-927F-E470787055B8}" name="2001-2011 growth rate" dataDxfId="123">
      <calculatedColumnFormula>E3/D3</calculatedColumnFormula>
    </tableColumn>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28C7B069-4C56-420B-848D-96BE4827C319}" name="Table_11_with_Scotland_suppression" displayName="Table_11_with_Scotland_suppression" ref="A2:AC5" totalsRowCount="1" headerRowDxfId="122" dataDxfId="121" tableBorderDxfId="120">
  <autoFilter ref="A2:AC4" xr:uid="{28C7B069-4C56-420B-848D-96BE4827C319}"/>
  <tableColumns count="29">
    <tableColumn id="1" xr3:uid="{1C837059-5450-4155-BB9F-5EB504283568}" name="ITL" dataDxfId="119" totalsRowDxfId="118"/>
    <tableColumn id="2" xr3:uid="{17868FDA-6C96-48C8-A50F-901643387D1F}" name="ITL code" dataDxfId="117" totalsRowDxfId="116"/>
    <tableColumn id="3" xr3:uid="{CA6A0128-9531-473D-A5D3-780CE9DC9A81}" name="Region name" dataDxfId="115" totalsRowDxfId="114"/>
    <tableColumn id="4" xr3:uid="{8390D69B-16CE-45B7-A60E-FEC2563C2390}" name="1998" dataDxfId="113" totalsRowDxfId="112"/>
    <tableColumn id="5" xr3:uid="{1A4BF90C-C8F1-4CC8-9E6E-72484BD95CE9}" name="1999" dataDxfId="111" totalsRowDxfId="110"/>
    <tableColumn id="6" xr3:uid="{8BB47BC1-09E0-471E-AF63-11321C9F7A5F}" name="2000" dataDxfId="109" totalsRowDxfId="108"/>
    <tableColumn id="7" xr3:uid="{4E4DC0D2-ACAA-4248-929F-406790737E30}" name="2001" dataDxfId="107" totalsRowDxfId="106"/>
    <tableColumn id="8" xr3:uid="{3349D701-682E-424A-81B1-41B63A498017}" name="2002" dataDxfId="105" totalsRowDxfId="104"/>
    <tableColumn id="9" xr3:uid="{3EF65ABC-E2A8-416C-AB49-6A21735E92A9}" name="2003" dataDxfId="103" totalsRowDxfId="102"/>
    <tableColumn id="10" xr3:uid="{79D86B6B-1D1B-44C6-BA90-2905040EA06D}" name="2004" dataDxfId="101" totalsRowDxfId="100"/>
    <tableColumn id="11" xr3:uid="{C646D525-3F90-4E0A-82DC-2631CC7FFB02}" name="2005" dataDxfId="99" totalsRowDxfId="98"/>
    <tableColumn id="12" xr3:uid="{AF33AAA2-446B-4A7B-BD46-588BB5C008B4}" name="2006" dataDxfId="97" totalsRowDxfId="96"/>
    <tableColumn id="13" xr3:uid="{E0517BD6-9201-41AF-909D-9BE467B24665}" name="2007" dataDxfId="95" totalsRowDxfId="94"/>
    <tableColumn id="14" xr3:uid="{CE1CCEC9-E3CE-4638-A416-191E018F48B1}" name="2008" dataDxfId="93" totalsRowDxfId="92"/>
    <tableColumn id="15" xr3:uid="{BF2E242C-A3D1-4FDC-B1B4-E083BEF83B9D}" name="2009" dataDxfId="91" totalsRowDxfId="90"/>
    <tableColumn id="16" xr3:uid="{EF2FFB2F-7F17-46B8-904D-AA5B1CD0026A}" name="2010" dataDxfId="89" totalsRowDxfId="88"/>
    <tableColumn id="17" xr3:uid="{99D0B138-9354-47F9-940C-CAF9B6FD4749}" name="2011" totalsRowFunction="custom" dataDxfId="87" totalsRowDxfId="86">
      <totalsRowFormula>Q4/$G$4</totalsRowFormula>
    </tableColumn>
    <tableColumn id="18" xr3:uid="{F487CF8A-E72A-4244-8A7D-215F3986199C}" name="2012" dataDxfId="85" totalsRowDxfId="84"/>
    <tableColumn id="19" xr3:uid="{47528C2C-0E88-4BB8-A2AF-3507735B2DD8}" name="2013" dataDxfId="83" totalsRowDxfId="82"/>
    <tableColumn id="20" xr3:uid="{3BD775EA-1706-43CC-B606-89A9BEC161D8}" name="2014" dataDxfId="81" totalsRowDxfId="80"/>
    <tableColumn id="21" xr3:uid="{58070BA9-1BE6-4F47-9DA6-BA01A6EE89D4}" name="2015" dataDxfId="79" totalsRowDxfId="78"/>
    <tableColumn id="22" xr3:uid="{60C03526-88E0-4D2A-B4A0-E507D7E9F7FC}" name="2016" dataDxfId="77" totalsRowDxfId="76"/>
    <tableColumn id="23" xr3:uid="{79503CBB-D6C0-49DD-A981-46E47D86C9A4}" name="2017" dataDxfId="75" totalsRowDxfId="74"/>
    <tableColumn id="24" xr3:uid="{2BCC194F-3B47-434C-810B-1315CFFE44FF}" name="2018" dataDxfId="73" totalsRowDxfId="72"/>
    <tableColumn id="25" xr3:uid="{97A8367F-CFBD-46C5-91AE-D298520788A1}" name="2019" dataDxfId="71" totalsRowDxfId="70"/>
    <tableColumn id="26" xr3:uid="{7CCC44AA-2104-4DD7-91D5-DF7CD61F71CE}" name="2020" dataDxfId="69" totalsRowDxfId="68"/>
    <tableColumn id="27" xr3:uid="{40F65492-7FD0-48D4-B637-44AEEAD5193C}" name="2021" totalsRowFunction="custom" dataDxfId="67" totalsRowDxfId="66">
      <totalsRowFormula>AA4/$G$4</totalsRowFormula>
    </tableColumn>
    <tableColumn id="28" xr3:uid="{678B404E-D509-4386-9609-3E9688E9E0FE}" name="2022" dataDxfId="65" totalsRowDxfId="64"/>
    <tableColumn id="29" xr3:uid="{2B5E94E3-9042-4EF4-BC4C-3B7BE585274B}" name="2023" dataDxfId="63" totalsRowDxfId="62"/>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FB3341D-2DDB-4EC7-8FB8-574BB11D06FB}" name="Table_13_with_Scotland_suppression3" displayName="Table_13_with_Scotland_suppression3" ref="A2:AB190" totalsRowShown="0" headerRowDxfId="61" dataDxfId="60" tableBorderDxfId="59">
  <autoFilter ref="A2:AB190" xr:uid="{4DA72972-163D-4C69-8761-99CC57691DBA}"/>
  <tableColumns count="28">
    <tableColumn id="1" xr3:uid="{C0E6BC17-CFBA-4BD3-9BE2-8195C5340D65}" name="ITL" dataDxfId="58"/>
    <tableColumn id="2" xr3:uid="{3E2526E5-4780-46A6-A94B-63CB76BBE742}" name="ITL code" dataDxfId="57"/>
    <tableColumn id="3" xr3:uid="{3429E004-7C49-491E-B58B-E718DE0B381C}" name="Region name" dataDxfId="56"/>
    <tableColumn id="4" xr3:uid="{A0A7783A-0FDC-453F-A922-D65862B9E744}" name="1999" dataDxfId="55"/>
    <tableColumn id="5" xr3:uid="{CAA3ACAA-E105-441B-9F69-3264B2FEBFBB}" name="2000" dataDxfId="54"/>
    <tableColumn id="6" xr3:uid="{BF96E155-8623-470A-A111-1C6B7E9BD935}" name="2001" dataDxfId="53"/>
    <tableColumn id="7" xr3:uid="{FA8A8B61-827D-459C-9F3C-2C69B333F583}" name="2002" dataDxfId="52"/>
    <tableColumn id="8" xr3:uid="{F4614290-6030-452A-81C8-84789D1AC907}" name="2003" dataDxfId="51"/>
    <tableColumn id="9" xr3:uid="{7DE11B6B-C3E1-4CE2-BF2B-B1A6851ABB22}" name="2004" dataDxfId="50"/>
    <tableColumn id="10" xr3:uid="{49D8D99D-0658-4352-8A22-C5E9B0167D21}" name="2005" dataDxfId="49"/>
    <tableColumn id="11" xr3:uid="{53D4C2D6-6047-4598-B300-AFEC3CF1D94D}" name="2006" dataDxfId="48"/>
    <tableColumn id="12" xr3:uid="{8E48BFCC-F94A-4A35-80B4-28CD036347A4}" name="2007" dataDxfId="47"/>
    <tableColumn id="13" xr3:uid="{B2031E9F-0EBB-45AF-AD50-70A9605FDB74}" name="2008" dataDxfId="46"/>
    <tableColumn id="14" xr3:uid="{19952801-4C47-4698-95D3-05FA4C6BEF6D}" name="2009" dataDxfId="45"/>
    <tableColumn id="15" xr3:uid="{0C0B15FA-1285-49E3-9365-35920508052A}" name="2010" dataDxfId="44"/>
    <tableColumn id="16" xr3:uid="{81099532-5D26-45A2-B116-163A8FA20311}" name="2011" dataDxfId="43"/>
    <tableColumn id="17" xr3:uid="{89BE5C1C-DF54-4400-B1BD-B467822836D8}" name="2012" dataDxfId="42"/>
    <tableColumn id="18" xr3:uid="{9BD13130-4643-426B-A4EA-62654DE3681B}" name="2013" dataDxfId="41"/>
    <tableColumn id="19" xr3:uid="{0D83629B-8DEE-43BF-9620-2B72EEC1E320}" name="2014" dataDxfId="40"/>
    <tableColumn id="20" xr3:uid="{C4E14CF9-3FEA-4BD7-A2B0-2D45FFC148B5}" name="2015" dataDxfId="39"/>
    <tableColumn id="21" xr3:uid="{0B3BD11F-41F0-4918-B461-CF0EF11F4931}" name="2016" dataDxfId="38"/>
    <tableColumn id="22" xr3:uid="{DEF6EECD-722A-4AAA-B231-FE32C796519C}" name="2017" dataDxfId="37"/>
    <tableColumn id="23" xr3:uid="{F5BE26CC-5B9F-47C4-8263-0FF70491AC8C}" name="2018" dataDxfId="36"/>
    <tableColumn id="24" xr3:uid="{26F5E909-94B2-45AD-B6FB-8F06BB1D5C06}" name="2019" dataDxfId="35"/>
    <tableColumn id="25" xr3:uid="{CAC18466-C90B-4340-8327-351B08C108D0}" name="2020" dataDxfId="34"/>
    <tableColumn id="26" xr3:uid="{B0B0C5C4-4AD7-41EC-81CC-B684F61323D9}" name="2021" dataDxfId="33"/>
    <tableColumn id="27" xr3:uid="{E6D28883-7A57-48BE-BB35-7594D2B34E71}" name="2022" dataDxfId="32"/>
    <tableColumn id="28" xr3:uid="{0A8F20B3-4F00-41A2-B783-D763F2FE84A5}" name="2023" dataDxfId="31"/>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B0C0AB-690A-45F9-A6E4-5C656C14F199}" name="Table_13_with_Scotland_suppression" displayName="Table_13_with_Scotland_suppression" ref="A2:AB5" totalsRowShown="0" headerRowDxfId="30" dataDxfId="29" tableBorderDxfId="28">
  <autoFilter ref="A2:AB5" xr:uid="{4DA72972-163D-4C69-8761-99CC57691DBA}"/>
  <tableColumns count="28">
    <tableColumn id="1" xr3:uid="{404BB2B6-9F9F-4CE2-AC31-8A7CACA81B88}" name="ITL" dataDxfId="27"/>
    <tableColumn id="2" xr3:uid="{D2592CEF-59BB-4ED5-B819-F11B87EF97D8}" name="ITL code" dataDxfId="26"/>
    <tableColumn id="3" xr3:uid="{F3989FA0-CCE3-47E1-B828-898277E5E568}" name="Region name" dataDxfId="25"/>
    <tableColumn id="4" xr3:uid="{743606A9-0A77-4862-AF27-FD4F100E5C49}" name="1999" dataDxfId="24"/>
    <tableColumn id="5" xr3:uid="{442B9F53-A27F-435D-9292-8E79F4EE981C}" name="2000" dataDxfId="23"/>
    <tableColumn id="6" xr3:uid="{B5123422-A67E-4FD7-906D-AEA994D0553A}" name="2001" dataDxfId="22"/>
    <tableColumn id="7" xr3:uid="{2C75D0EB-8A77-428F-8134-3623D071866D}" name="2002" dataDxfId="21"/>
    <tableColumn id="8" xr3:uid="{8A7AB7CD-915A-44E8-BFBF-A0310D234AB7}" name="2003" dataDxfId="20"/>
    <tableColumn id="9" xr3:uid="{0D0DB107-97B5-4774-B92C-BEA9465A57E8}" name="2004" dataDxfId="19"/>
    <tableColumn id="10" xr3:uid="{DAE07A72-C369-47B3-BB45-EB0B212DA2E6}" name="2005" dataDxfId="18"/>
    <tableColumn id="11" xr3:uid="{3624AE0C-2FF4-4CE9-906C-0F753AD71008}" name="2006" dataDxfId="17"/>
    <tableColumn id="12" xr3:uid="{01013EFF-831F-4BAD-8AFA-4477BFF9B4FA}" name="2007" dataDxfId="16"/>
    <tableColumn id="13" xr3:uid="{7DAD5ED3-6BF3-495B-9A38-6269704EED10}" name="2008" dataDxfId="15"/>
    <tableColumn id="14" xr3:uid="{6D73CB09-02C6-44E9-BBBE-74ABCF20DBC8}" name="2009" dataDxfId="14"/>
    <tableColumn id="15" xr3:uid="{24FDD4CB-948D-473E-A58F-3B6E5E4721CA}" name="2010" dataDxfId="13"/>
    <tableColumn id="16" xr3:uid="{51B89002-F50E-4101-9061-E2C15D96B7A1}" name="2011" dataDxfId="12"/>
    <tableColumn id="17" xr3:uid="{5F4DED4D-ED56-4837-94DB-F23362700093}" name="2012" dataDxfId="11"/>
    <tableColumn id="18" xr3:uid="{D2279080-CC63-4295-BC3F-286DF2C74980}" name="2013" dataDxfId="10"/>
    <tableColumn id="19" xr3:uid="{AF963879-00BB-48A5-8723-08477042BACB}" name="2014" dataDxfId="9"/>
    <tableColumn id="20" xr3:uid="{ED34CDB2-2376-42CE-BA0D-67F5390A59C1}" name="2015" dataDxfId="8"/>
    <tableColumn id="21" xr3:uid="{53A0B58C-6295-4E9F-8419-344AA531EC34}" name="2016" dataDxfId="7"/>
    <tableColumn id="22" xr3:uid="{A0DE2EAF-2FF8-49E0-9B1B-37F7135DE5E9}" name="2017" dataDxfId="6"/>
    <tableColumn id="23" xr3:uid="{00A09B9B-C0C3-496B-9984-2C3B86551347}" name="2018" dataDxfId="5"/>
    <tableColumn id="24" xr3:uid="{24280A59-9C9F-4FA3-90ED-9A4EFAC62B56}" name="2019" dataDxfId="4"/>
    <tableColumn id="25" xr3:uid="{25E3F311-5C3A-4793-83A0-4DA21A5BFE11}" name="2020" dataDxfId="3"/>
    <tableColumn id="26" xr3:uid="{6F44B383-991B-4E08-B2A4-EBA9593CC66F}" name="2021" dataDxfId="2"/>
    <tableColumn id="27" xr3:uid="{75F78315-FE2E-4681-97B5-C11CEDBA1499}" name="2022" dataDxfId="1"/>
    <tableColumn id="28" xr3:uid="{E81F4B55-4738-4893-BE2C-BA42A702A0B3}" name="2023" dataDxfId="0"/>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F600A-3572-4AE4-80F7-2F7FD4032CD8}">
  <dimension ref="A1:M13"/>
  <sheetViews>
    <sheetView showGridLines="0" zoomScaleNormal="100" workbookViewId="0"/>
  </sheetViews>
  <sheetFormatPr defaultColWidth="8.42578125" defaultRowHeight="15" x14ac:dyDescent="0.2"/>
  <cols>
    <col min="1" max="1" width="150.5703125" style="24" customWidth="1"/>
    <col min="2" max="252" width="8.42578125" style="24"/>
    <col min="253" max="253" width="5.28515625" style="24" customWidth="1"/>
    <col min="254" max="16384" width="8.42578125" style="24"/>
  </cols>
  <sheetData>
    <row r="1" spans="1:13" ht="34.9" customHeight="1" x14ac:dyDescent="0.2">
      <c r="A1" s="23" t="s">
        <v>0</v>
      </c>
    </row>
    <row r="2" spans="1:13" ht="212.25" customHeight="1" x14ac:dyDescent="0.2">
      <c r="A2" s="38" t="s">
        <v>78</v>
      </c>
    </row>
    <row r="3" spans="1:13" s="27" customFormat="1" ht="163.5" customHeight="1" x14ac:dyDescent="0.25">
      <c r="A3" s="25" t="s">
        <v>1</v>
      </c>
      <c r="B3" s="26"/>
      <c r="C3" s="26"/>
      <c r="D3" s="26"/>
      <c r="E3" s="26"/>
      <c r="F3" s="26"/>
      <c r="G3" s="26"/>
      <c r="H3" s="26"/>
      <c r="I3" s="26"/>
      <c r="J3" s="26"/>
      <c r="K3" s="26"/>
      <c r="L3" s="26"/>
      <c r="M3" s="26"/>
    </row>
    <row r="4" spans="1:13" ht="21" customHeight="1" x14ac:dyDescent="0.25">
      <c r="A4" s="28" t="s">
        <v>2</v>
      </c>
    </row>
    <row r="5" spans="1:13" s="30" customFormat="1" ht="208.15" customHeight="1" x14ac:dyDescent="0.2">
      <c r="A5" s="29" t="s">
        <v>3</v>
      </c>
    </row>
    <row r="6" spans="1:13" ht="22.35" customHeight="1" x14ac:dyDescent="0.25">
      <c r="A6" s="28" t="s">
        <v>4</v>
      </c>
    </row>
    <row r="7" spans="1:13" x14ac:dyDescent="0.2">
      <c r="A7" s="33" t="s">
        <v>77</v>
      </c>
    </row>
    <row r="8" spans="1:13" s="30" customFormat="1" ht="35.1" customHeight="1" x14ac:dyDescent="0.25">
      <c r="A8" s="28" t="s">
        <v>5</v>
      </c>
    </row>
    <row r="9" spans="1:13" x14ac:dyDescent="0.2">
      <c r="A9" s="31" t="s">
        <v>6</v>
      </c>
    </row>
    <row r="10" spans="1:13" ht="26.65" customHeight="1" x14ac:dyDescent="0.25">
      <c r="A10" s="32" t="s">
        <v>7</v>
      </c>
    </row>
    <row r="11" spans="1:13" x14ac:dyDescent="0.2">
      <c r="A11" s="31" t="s">
        <v>8</v>
      </c>
    </row>
    <row r="12" spans="1:13" x14ac:dyDescent="0.2">
      <c r="A12" s="31" t="s">
        <v>9</v>
      </c>
    </row>
    <row r="13" spans="1:13" x14ac:dyDescent="0.2">
      <c r="A13" s="31" t="s">
        <v>10</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919A5-D509-4A4A-B750-4B5FB8DDFA62}">
  <dimension ref="A1:B19"/>
  <sheetViews>
    <sheetView showGridLines="0" workbookViewId="0">
      <selection activeCell="B13" sqref="B13"/>
    </sheetView>
  </sheetViews>
  <sheetFormatPr defaultColWidth="10.5703125" defaultRowHeight="15" x14ac:dyDescent="0.2"/>
  <cols>
    <col min="1" max="1" width="21.42578125" style="3" customWidth="1"/>
    <col min="2" max="2" width="145.7109375" style="3" customWidth="1"/>
    <col min="3" max="16384" width="10.5703125" style="3"/>
  </cols>
  <sheetData>
    <row r="1" spans="1:2" ht="35.1" customHeight="1" x14ac:dyDescent="0.25">
      <c r="A1" s="1" t="s">
        <v>11</v>
      </c>
    </row>
    <row r="2" spans="1:2" ht="25.15" customHeight="1" x14ac:dyDescent="0.25">
      <c r="A2" s="4" t="s">
        <v>12</v>
      </c>
      <c r="B2" s="4" t="s">
        <v>13</v>
      </c>
    </row>
    <row r="3" spans="1:2" ht="15" customHeight="1" x14ac:dyDescent="0.2">
      <c r="A3" s="5" t="s">
        <v>14</v>
      </c>
      <c r="B3" s="10" t="s">
        <v>70</v>
      </c>
    </row>
    <row r="4" spans="1:2" ht="15" customHeight="1" x14ac:dyDescent="0.2">
      <c r="A4" s="5" t="s">
        <v>15</v>
      </c>
      <c r="B4" s="11" t="s">
        <v>16</v>
      </c>
    </row>
    <row r="5" spans="1:2" ht="15" customHeight="1" x14ac:dyDescent="0.2">
      <c r="A5" s="5" t="s">
        <v>17</v>
      </c>
      <c r="B5" s="11" t="s">
        <v>18</v>
      </c>
    </row>
    <row r="6" spans="1:2" ht="15" customHeight="1" x14ac:dyDescent="0.2">
      <c r="A6" s="5" t="s">
        <v>19</v>
      </c>
      <c r="B6" s="11" t="s">
        <v>20</v>
      </c>
    </row>
    <row r="7" spans="1:2" x14ac:dyDescent="0.2">
      <c r="A7" s="5" t="s">
        <v>21</v>
      </c>
      <c r="B7" s="11" t="s">
        <v>71</v>
      </c>
    </row>
    <row r="8" spans="1:2" x14ac:dyDescent="0.2">
      <c r="A8" s="5" t="s">
        <v>22</v>
      </c>
      <c r="B8" s="11" t="s">
        <v>75</v>
      </c>
    </row>
    <row r="9" spans="1:2" x14ac:dyDescent="0.2">
      <c r="A9" s="5" t="s">
        <v>23</v>
      </c>
      <c r="B9" s="11" t="s">
        <v>74</v>
      </c>
    </row>
    <row r="10" spans="1:2" x14ac:dyDescent="0.2">
      <c r="A10" s="5" t="s">
        <v>24</v>
      </c>
      <c r="B10" s="11" t="s">
        <v>81</v>
      </c>
    </row>
    <row r="11" spans="1:2" x14ac:dyDescent="0.2">
      <c r="A11" s="5" t="s">
        <v>25</v>
      </c>
      <c r="B11" s="11" t="s">
        <v>82</v>
      </c>
    </row>
    <row r="12" spans="1:2" x14ac:dyDescent="0.2">
      <c r="A12" s="5" t="s">
        <v>26</v>
      </c>
      <c r="B12" s="11" t="s">
        <v>83</v>
      </c>
    </row>
    <row r="13" spans="1:2" x14ac:dyDescent="0.2">
      <c r="A13" s="5" t="s">
        <v>27</v>
      </c>
      <c r="B13" s="11" t="s">
        <v>79</v>
      </c>
    </row>
    <row r="14" spans="1:2" x14ac:dyDescent="0.2">
      <c r="A14" s="5" t="s">
        <v>28</v>
      </c>
      <c r="B14" s="11" t="s">
        <v>84</v>
      </c>
    </row>
    <row r="15" spans="1:2" x14ac:dyDescent="0.2">
      <c r="A15" s="5" t="s">
        <v>29</v>
      </c>
      <c r="B15" s="11" t="s">
        <v>80</v>
      </c>
    </row>
    <row r="16" spans="1:2" x14ac:dyDescent="0.2">
      <c r="B16" s="6"/>
    </row>
    <row r="17" spans="2:2" x14ac:dyDescent="0.2">
      <c r="B17" s="6"/>
    </row>
    <row r="18" spans="2:2" x14ac:dyDescent="0.2">
      <c r="B18" s="6"/>
    </row>
    <row r="19" spans="2:2" x14ac:dyDescent="0.2">
      <c r="B19" s="6"/>
    </row>
  </sheetData>
  <hyperlinks>
    <hyperlink ref="B3" location="'Table 1'!A1" display="Table 1: Gross Value Added (Balanced) at current basic prices, pounds million" xr:uid="{9E6D5092-EAC3-4F2D-877F-0BC156F6FE0F}"/>
    <hyperlink ref="B4" location="'Table 2'!A1" display="Table 2: Value Added Tax (VAT) on products, pounds million" xr:uid="{4D32109A-5E39-4B7A-A34F-2FCE655AE97D}"/>
    <hyperlink ref="B5" location="'Table 3'!A1" display="Table 3: Other taxes on products, pounds million" xr:uid="{FDBE90C7-89E5-44FB-98A7-FB5B6AE1AA96}"/>
    <hyperlink ref="B6" location="'Table 4'!A1" display="Table 4: Subsidies on products, pounds million" xr:uid="{B6979135-D169-4BEC-98EB-28622E4B6429}"/>
    <hyperlink ref="B7" location="'Table 5'!A1" display="Table 5: Gross Domestic Product (GDP) at current market prices, pounds million" xr:uid="{4642ADAE-C1F9-4546-9176-EF68A4CE4007}"/>
    <hyperlink ref="B8" location="'Table 6'!A1" display="Table 6: Total resident population numbers, persons [notes 4, 5]" xr:uid="{4ADDB2DC-B4AA-4093-9CC8-A3FC6E771C51}"/>
    <hyperlink ref="B9" location="'Table 7'!A1" display="Table 7: Gross domestic product (GDP) per head at current market prices, pounds [notes 5, 6]" xr:uid="{303F469D-A562-43CF-A31A-6611E0993816}"/>
    <hyperlink ref="B10" location="'Table 8'!A1" display="Table 8: Whole economy GVA implied deflators, 2019 equals 100 [note 2]" xr:uid="{0B9D5736-1CBB-49C7-8700-98E719296C0F}"/>
    <hyperlink ref="B11" location="'Table 9'!A1" display="Table 9: Gross Domestic Product (GDP) chained volume measures (CVM) index, 2019 equals 100" xr:uid="{FD07D4D5-2EA5-403B-8503-BDB0901763ED}"/>
    <hyperlink ref="B12" location="'Table 10'!A1" display="Table 10: Gross domestic product (GDP) chained volume measures (CVM) in 2019 money value, pounds million [notes 1,  3]" xr:uid="{29688A47-EBFB-4B78-B706-89F61C171DBC}"/>
    <hyperlink ref="B13" location="'Table 11'!A1" display="Table 11: Gross domestic product (GDP) chained volume measures (CVM) in 2019 money value, per head, pounds [notes 1, 5, 6]" xr:uid="{D6B58CDE-3F71-4F67-9AB1-9C55EB3F2493}"/>
    <hyperlink ref="B14" location="'Table 12'!A1" display="Table 12: Gross Domestic Product (GDP) chained volume measures (CVM) annual growth rates, percentage" xr:uid="{745454AA-E22E-4986-A56A-C5D8E2636FEF}"/>
    <hyperlink ref="B15" location="'Table 13'!A1" display="Table 13: Gross domestic product (GDP) chained volume measures (CVM) per head annual growth rates, percentage [notes 1, 5, 6]" xr:uid="{FB078CA1-4545-4A81-A065-FDDAECE42AC3}"/>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25959-F55D-412A-99A5-33A00F059FE8}">
  <dimension ref="A1:B15"/>
  <sheetViews>
    <sheetView showGridLines="0" workbookViewId="0"/>
  </sheetViews>
  <sheetFormatPr defaultColWidth="8.7109375" defaultRowHeight="15" x14ac:dyDescent="0.2"/>
  <cols>
    <col min="1" max="1" width="14.7109375" style="2" customWidth="1"/>
    <col min="2" max="2" width="95.42578125" style="2" customWidth="1"/>
    <col min="3" max="16384" width="8.7109375" style="2"/>
  </cols>
  <sheetData>
    <row r="1" spans="1:2" ht="35.25" customHeight="1" x14ac:dyDescent="0.25">
      <c r="A1" s="12" t="s">
        <v>30</v>
      </c>
      <c r="B1" s="13"/>
    </row>
    <row r="2" spans="1:2" ht="25.15" customHeight="1" x14ac:dyDescent="0.25">
      <c r="A2" s="14" t="s">
        <v>31</v>
      </c>
      <c r="B2" s="13"/>
    </row>
    <row r="3" spans="1:2" ht="15.75" x14ac:dyDescent="0.25">
      <c r="A3" s="13" t="s">
        <v>32</v>
      </c>
      <c r="B3" s="13" t="s">
        <v>33</v>
      </c>
    </row>
    <row r="4" spans="1:2" ht="30" x14ac:dyDescent="0.2">
      <c r="A4" s="15">
        <v>1</v>
      </c>
      <c r="B4" s="16" t="s">
        <v>34</v>
      </c>
    </row>
    <row r="5" spans="1:2" ht="30" x14ac:dyDescent="0.2">
      <c r="A5" s="15">
        <v>2</v>
      </c>
      <c r="B5" s="16" t="s">
        <v>35</v>
      </c>
    </row>
    <row r="6" spans="1:2" ht="19.5" customHeight="1" x14ac:dyDescent="0.2">
      <c r="A6" s="15">
        <v>3</v>
      </c>
      <c r="B6" s="16" t="s">
        <v>36</v>
      </c>
    </row>
    <row r="7" spans="1:2" x14ac:dyDescent="0.2">
      <c r="A7" s="15">
        <v>4</v>
      </c>
      <c r="B7" s="16" t="s">
        <v>37</v>
      </c>
    </row>
    <row r="8" spans="1:2" ht="45" x14ac:dyDescent="0.2">
      <c r="A8" s="15">
        <v>5</v>
      </c>
      <c r="B8" s="19" t="s">
        <v>85</v>
      </c>
    </row>
    <row r="9" spans="1:2" ht="30" x14ac:dyDescent="0.2">
      <c r="A9" s="15">
        <v>6</v>
      </c>
      <c r="B9" s="38" t="s">
        <v>73</v>
      </c>
    </row>
    <row r="10" spans="1:2" x14ac:dyDescent="0.2">
      <c r="A10" s="14"/>
      <c r="B10" s="18"/>
    </row>
    <row r="11" spans="1:2" x14ac:dyDescent="0.2">
      <c r="A11" s="14"/>
      <c r="B11" s="17"/>
    </row>
    <row r="12" spans="1:2" x14ac:dyDescent="0.2">
      <c r="A12" s="14"/>
      <c r="B12" s="17"/>
    </row>
    <row r="13" spans="1:2" x14ac:dyDescent="0.2">
      <c r="A13" s="14"/>
      <c r="B13" s="17"/>
    </row>
    <row r="14" spans="1:2" x14ac:dyDescent="0.2">
      <c r="A14" s="14"/>
      <c r="B14" s="17"/>
    </row>
    <row r="15" spans="1:2" x14ac:dyDescent="0.2">
      <c r="A15" s="14"/>
      <c r="B15" s="17"/>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34FEA-65E1-4C87-BE79-C494E632DCA7}">
  <dimension ref="A1:AD190"/>
  <sheetViews>
    <sheetView workbookViewId="0">
      <selection activeCell="J8" sqref="J8"/>
    </sheetView>
  </sheetViews>
  <sheetFormatPr defaultColWidth="14.28515625" defaultRowHeight="15" x14ac:dyDescent="0.2"/>
  <cols>
    <col min="1" max="1" width="7" style="7" bestFit="1" customWidth="1"/>
    <col min="2" max="2" width="13" style="7" bestFit="1" customWidth="1"/>
    <col min="3" max="3" width="59.140625" style="7" bestFit="1" customWidth="1"/>
    <col min="4" max="29" width="9.5703125" style="21" bestFit="1" customWidth="1"/>
    <col min="30" max="30" width="7.7109375" style="21" bestFit="1" customWidth="1"/>
    <col min="31" max="16384" width="14.28515625" style="21"/>
  </cols>
  <sheetData>
    <row r="1" spans="1:30" ht="18" x14ac:dyDescent="0.25">
      <c r="A1" s="9" t="s">
        <v>79</v>
      </c>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row>
    <row r="2" spans="1:30" s="7" customFormat="1" ht="15.75" x14ac:dyDescent="0.25">
      <c r="A2" s="8" t="s">
        <v>38</v>
      </c>
      <c r="B2" s="8" t="s">
        <v>39</v>
      </c>
      <c r="C2" s="8" t="s">
        <v>40</v>
      </c>
      <c r="D2" s="22" t="s">
        <v>41</v>
      </c>
      <c r="E2" s="22" t="s">
        <v>42</v>
      </c>
      <c r="F2" s="22" t="s">
        <v>43</v>
      </c>
      <c r="G2" s="22" t="s">
        <v>44</v>
      </c>
      <c r="H2" s="22" t="s">
        <v>45</v>
      </c>
      <c r="I2" s="22" t="s">
        <v>46</v>
      </c>
      <c r="J2" s="22" t="s">
        <v>47</v>
      </c>
      <c r="K2" s="22" t="s">
        <v>48</v>
      </c>
      <c r="L2" s="22" t="s">
        <v>49</v>
      </c>
      <c r="M2" s="22" t="s">
        <v>50</v>
      </c>
      <c r="N2" s="22" t="s">
        <v>51</v>
      </c>
      <c r="O2" s="22" t="s">
        <v>52</v>
      </c>
      <c r="P2" s="22" t="s">
        <v>53</v>
      </c>
      <c r="Q2" s="22" t="s">
        <v>54</v>
      </c>
      <c r="R2" s="22" t="s">
        <v>55</v>
      </c>
      <c r="S2" s="22" t="s">
        <v>56</v>
      </c>
      <c r="T2" s="22" t="s">
        <v>57</v>
      </c>
      <c r="U2" s="22" t="s">
        <v>58</v>
      </c>
      <c r="V2" s="22" t="s">
        <v>59</v>
      </c>
      <c r="W2" s="22" t="s">
        <v>60</v>
      </c>
      <c r="X2" s="22" t="s">
        <v>61</v>
      </c>
      <c r="Y2" s="22" t="s">
        <v>62</v>
      </c>
      <c r="Z2" s="22" t="s">
        <v>63</v>
      </c>
      <c r="AA2" s="22" t="s">
        <v>64</v>
      </c>
      <c r="AB2" s="22" t="s">
        <v>72</v>
      </c>
      <c r="AC2" s="22" t="s">
        <v>76</v>
      </c>
      <c r="AD2"/>
    </row>
    <row r="3" spans="1:30" x14ac:dyDescent="0.2">
      <c r="A3" s="34" t="s">
        <v>65</v>
      </c>
      <c r="B3" s="34" t="s">
        <v>65</v>
      </c>
      <c r="C3" s="34" t="s">
        <v>66</v>
      </c>
      <c r="D3" s="36">
        <v>28570</v>
      </c>
      <c r="E3" s="36">
        <v>29339</v>
      </c>
      <c r="F3" s="36">
        <v>30508</v>
      </c>
      <c r="G3" s="36">
        <v>31173</v>
      </c>
      <c r="H3" s="36">
        <v>31598</v>
      </c>
      <c r="I3" s="36">
        <v>32445</v>
      </c>
      <c r="J3" s="36">
        <v>33069</v>
      </c>
      <c r="K3" s="36">
        <v>33712</v>
      </c>
      <c r="L3" s="36">
        <v>34280</v>
      </c>
      <c r="M3" s="36">
        <v>34898</v>
      </c>
      <c r="N3" s="36">
        <v>34527</v>
      </c>
      <c r="O3" s="36">
        <v>32700</v>
      </c>
      <c r="P3" s="36">
        <v>33165</v>
      </c>
      <c r="Q3" s="36">
        <v>33264</v>
      </c>
      <c r="R3" s="36">
        <v>33537</v>
      </c>
      <c r="S3" s="36">
        <v>33911</v>
      </c>
      <c r="T3" s="36">
        <v>34731</v>
      </c>
      <c r="U3" s="36">
        <v>35244</v>
      </c>
      <c r="V3" s="36">
        <v>35633</v>
      </c>
      <c r="W3" s="36">
        <v>36378</v>
      </c>
      <c r="X3" s="36">
        <v>36704</v>
      </c>
      <c r="Y3" s="36">
        <v>37106</v>
      </c>
      <c r="Z3" s="36">
        <v>33227</v>
      </c>
      <c r="AA3" s="36">
        <v>35943</v>
      </c>
      <c r="AB3" s="36">
        <v>37372</v>
      </c>
      <c r="AC3" s="36">
        <v>37135</v>
      </c>
      <c r="AD3"/>
    </row>
    <row r="4" spans="1:30" x14ac:dyDescent="0.2">
      <c r="A4" s="41" t="s">
        <v>67</v>
      </c>
      <c r="B4" s="41" t="s">
        <v>68</v>
      </c>
      <c r="C4" s="41" t="s">
        <v>69</v>
      </c>
      <c r="D4" s="56">
        <v>27564</v>
      </c>
      <c r="E4" s="56">
        <v>28520</v>
      </c>
      <c r="F4" s="56">
        <v>29757</v>
      </c>
      <c r="G4" s="56">
        <v>30316</v>
      </c>
      <c r="H4" s="56">
        <v>30695</v>
      </c>
      <c r="I4" s="56">
        <v>31526</v>
      </c>
      <c r="J4" s="56">
        <v>32142</v>
      </c>
      <c r="K4" s="56">
        <v>32865</v>
      </c>
      <c r="L4" s="56">
        <v>33550</v>
      </c>
      <c r="M4" s="56">
        <v>34314</v>
      </c>
      <c r="N4" s="56">
        <v>33898</v>
      </c>
      <c r="O4" s="56">
        <v>31857</v>
      </c>
      <c r="P4" s="56">
        <v>32873</v>
      </c>
      <c r="Q4" s="56">
        <v>33428</v>
      </c>
      <c r="R4" s="56">
        <v>33847</v>
      </c>
      <c r="S4" s="56">
        <v>34298</v>
      </c>
      <c r="T4" s="56">
        <v>35191</v>
      </c>
      <c r="U4" s="56">
        <v>35594</v>
      </c>
      <c r="V4" s="56">
        <v>36031</v>
      </c>
      <c r="W4" s="56">
        <v>36802</v>
      </c>
      <c r="X4" s="56">
        <v>37095</v>
      </c>
      <c r="Y4" s="56">
        <v>37478</v>
      </c>
      <c r="Z4" s="56">
        <v>33437</v>
      </c>
      <c r="AA4" s="56">
        <v>36465</v>
      </c>
      <c r="AB4" s="56">
        <v>37774</v>
      </c>
      <c r="AC4" s="56">
        <v>37170</v>
      </c>
      <c r="AD4"/>
    </row>
    <row r="5" spans="1:30" x14ac:dyDescent="0.2">
      <c r="A5" s="55" t="s">
        <v>88</v>
      </c>
      <c r="B5" s="55" t="s">
        <v>457</v>
      </c>
      <c r="C5" s="55" t="s">
        <v>456</v>
      </c>
      <c r="D5" s="57">
        <v>18887</v>
      </c>
      <c r="E5" s="57">
        <v>19416</v>
      </c>
      <c r="F5" s="57">
        <v>20005</v>
      </c>
      <c r="G5" s="57">
        <v>20895</v>
      </c>
      <c r="H5" s="57">
        <v>21742</v>
      </c>
      <c r="I5" s="57">
        <v>22500</v>
      </c>
      <c r="J5" s="57">
        <v>23715</v>
      </c>
      <c r="K5" s="57">
        <v>23932</v>
      </c>
      <c r="L5" s="57">
        <v>24563</v>
      </c>
      <c r="M5" s="57">
        <v>24502</v>
      </c>
      <c r="N5" s="57">
        <v>24053</v>
      </c>
      <c r="O5" s="57">
        <v>22933</v>
      </c>
      <c r="P5" s="57">
        <v>23453</v>
      </c>
      <c r="Q5" s="57">
        <v>23938</v>
      </c>
      <c r="R5" s="57">
        <v>24430</v>
      </c>
      <c r="S5" s="57">
        <v>24345</v>
      </c>
      <c r="T5" s="57">
        <v>24811</v>
      </c>
      <c r="U5" s="57">
        <v>25604</v>
      </c>
      <c r="V5" s="57">
        <v>25538</v>
      </c>
      <c r="W5" s="57">
        <v>26069</v>
      </c>
      <c r="X5" s="57">
        <v>26296</v>
      </c>
      <c r="Y5" s="57">
        <v>26761</v>
      </c>
      <c r="Z5" s="57">
        <v>23414</v>
      </c>
      <c r="AA5" s="57">
        <v>25868</v>
      </c>
      <c r="AB5" s="57">
        <v>26507</v>
      </c>
      <c r="AC5" s="57">
        <v>26347</v>
      </c>
      <c r="AD5"/>
    </row>
    <row r="6" spans="1:30" x14ac:dyDescent="0.2">
      <c r="A6" s="54" t="s">
        <v>87</v>
      </c>
      <c r="B6" s="54" t="s">
        <v>455</v>
      </c>
      <c r="C6" s="54" t="s">
        <v>454</v>
      </c>
      <c r="D6" s="52">
        <v>17456</v>
      </c>
      <c r="E6" s="52">
        <v>18356</v>
      </c>
      <c r="F6" s="52">
        <v>19084</v>
      </c>
      <c r="G6" s="52">
        <v>19501</v>
      </c>
      <c r="H6" s="52">
        <v>20156</v>
      </c>
      <c r="I6" s="52">
        <v>21249</v>
      </c>
      <c r="J6" s="52">
        <v>22227</v>
      </c>
      <c r="K6" s="52">
        <v>22110</v>
      </c>
      <c r="L6" s="52">
        <v>22811</v>
      </c>
      <c r="M6" s="52">
        <v>22763</v>
      </c>
      <c r="N6" s="52">
        <v>22414</v>
      </c>
      <c r="O6" s="52">
        <v>21708</v>
      </c>
      <c r="P6" s="52">
        <v>22145</v>
      </c>
      <c r="Q6" s="52">
        <v>23230</v>
      </c>
      <c r="R6" s="52">
        <v>23683</v>
      </c>
      <c r="S6" s="52">
        <v>23599</v>
      </c>
      <c r="T6" s="52">
        <v>24557</v>
      </c>
      <c r="U6" s="52">
        <v>25948</v>
      </c>
      <c r="V6" s="52">
        <v>25905</v>
      </c>
      <c r="W6" s="52">
        <v>25640</v>
      </c>
      <c r="X6" s="52">
        <v>25996</v>
      </c>
      <c r="Y6" s="52">
        <v>26053</v>
      </c>
      <c r="Z6" s="52">
        <v>23342</v>
      </c>
      <c r="AA6" s="52">
        <v>25484</v>
      </c>
      <c r="AB6" s="52">
        <v>25992</v>
      </c>
      <c r="AC6" s="52">
        <v>25001</v>
      </c>
      <c r="AD6"/>
    </row>
    <row r="7" spans="1:30" x14ac:dyDescent="0.2">
      <c r="A7" s="53" t="s">
        <v>86</v>
      </c>
      <c r="B7" s="53" t="s">
        <v>453</v>
      </c>
      <c r="C7" s="53" t="s">
        <v>452</v>
      </c>
      <c r="D7" s="44">
        <v>22289</v>
      </c>
      <c r="E7" s="44">
        <v>23379</v>
      </c>
      <c r="F7" s="44">
        <v>23455</v>
      </c>
      <c r="G7" s="44">
        <v>23560</v>
      </c>
      <c r="H7" s="44">
        <v>23967</v>
      </c>
      <c r="I7" s="44">
        <v>24896</v>
      </c>
      <c r="J7" s="44">
        <v>25848</v>
      </c>
      <c r="K7" s="44">
        <v>25386</v>
      </c>
      <c r="L7" s="44">
        <v>26191</v>
      </c>
      <c r="M7" s="44">
        <v>26501</v>
      </c>
      <c r="N7" s="44">
        <v>25316</v>
      </c>
      <c r="O7" s="44">
        <v>24470</v>
      </c>
      <c r="P7" s="44">
        <v>24845</v>
      </c>
      <c r="Q7" s="44">
        <v>26759</v>
      </c>
      <c r="R7" s="44">
        <v>27054</v>
      </c>
      <c r="S7" s="44">
        <v>27125</v>
      </c>
      <c r="T7" s="44">
        <v>27302</v>
      </c>
      <c r="U7" s="44">
        <v>28843</v>
      </c>
      <c r="V7" s="44">
        <v>29250</v>
      </c>
      <c r="W7" s="44">
        <v>28505</v>
      </c>
      <c r="X7" s="44">
        <v>28236</v>
      </c>
      <c r="Y7" s="44">
        <v>28803</v>
      </c>
      <c r="Z7" s="44">
        <v>26840</v>
      </c>
      <c r="AA7" s="44">
        <v>28409</v>
      </c>
      <c r="AB7" s="44">
        <v>28507</v>
      </c>
      <c r="AC7" s="44">
        <v>26833</v>
      </c>
      <c r="AD7"/>
    </row>
    <row r="8" spans="1:30" x14ac:dyDescent="0.2">
      <c r="A8" s="53" t="s">
        <v>86</v>
      </c>
      <c r="B8" s="53" t="s">
        <v>451</v>
      </c>
      <c r="C8" s="53" t="s">
        <v>450</v>
      </c>
      <c r="D8" s="44">
        <v>18240</v>
      </c>
      <c r="E8" s="44">
        <v>18997</v>
      </c>
      <c r="F8" s="44">
        <v>19415</v>
      </c>
      <c r="G8" s="44">
        <v>19250</v>
      </c>
      <c r="H8" s="44">
        <v>19631</v>
      </c>
      <c r="I8" s="44">
        <v>20550</v>
      </c>
      <c r="J8" s="44">
        <v>21122</v>
      </c>
      <c r="K8" s="44">
        <v>21285</v>
      </c>
      <c r="L8" s="44">
        <v>21875</v>
      </c>
      <c r="M8" s="44">
        <v>21633</v>
      </c>
      <c r="N8" s="44">
        <v>21385</v>
      </c>
      <c r="O8" s="44">
        <v>20919</v>
      </c>
      <c r="P8" s="44">
        <v>21068</v>
      </c>
      <c r="Q8" s="44">
        <v>21274</v>
      </c>
      <c r="R8" s="44">
        <v>21798</v>
      </c>
      <c r="S8" s="44">
        <v>21287</v>
      </c>
      <c r="T8" s="44">
        <v>21747</v>
      </c>
      <c r="U8" s="44">
        <v>22368</v>
      </c>
      <c r="V8" s="44">
        <v>22252</v>
      </c>
      <c r="W8" s="44">
        <v>22130</v>
      </c>
      <c r="X8" s="44">
        <v>22958</v>
      </c>
      <c r="Y8" s="44">
        <v>22602</v>
      </c>
      <c r="Z8" s="44">
        <v>19456</v>
      </c>
      <c r="AA8" s="44">
        <v>21887</v>
      </c>
      <c r="AB8" s="44">
        <v>22608</v>
      </c>
      <c r="AC8" s="44">
        <v>21862</v>
      </c>
      <c r="AD8"/>
    </row>
    <row r="9" spans="1:30" x14ac:dyDescent="0.2">
      <c r="A9" s="53" t="s">
        <v>86</v>
      </c>
      <c r="B9" s="53" t="s">
        <v>449</v>
      </c>
      <c r="C9" s="53" t="s">
        <v>448</v>
      </c>
      <c r="D9" s="44">
        <v>10458</v>
      </c>
      <c r="E9" s="44">
        <v>11244</v>
      </c>
      <c r="F9" s="44">
        <v>12956</v>
      </c>
      <c r="G9" s="44">
        <v>14391</v>
      </c>
      <c r="H9" s="44">
        <v>15613</v>
      </c>
      <c r="I9" s="44">
        <v>17063</v>
      </c>
      <c r="J9" s="44">
        <v>18578</v>
      </c>
      <c r="K9" s="44">
        <v>18481</v>
      </c>
      <c r="L9" s="44">
        <v>19096</v>
      </c>
      <c r="M9" s="44">
        <v>18682</v>
      </c>
      <c r="N9" s="44">
        <v>19482</v>
      </c>
      <c r="O9" s="44">
        <v>18552</v>
      </c>
      <c r="P9" s="44">
        <v>19557</v>
      </c>
      <c r="Q9" s="44">
        <v>20558</v>
      </c>
      <c r="R9" s="44">
        <v>21168</v>
      </c>
      <c r="S9" s="44">
        <v>21544</v>
      </c>
      <c r="T9" s="44">
        <v>24947</v>
      </c>
      <c r="U9" s="44">
        <v>27563</v>
      </c>
      <c r="V9" s="44">
        <v>26680</v>
      </c>
      <c r="W9" s="44">
        <v>27173</v>
      </c>
      <c r="X9" s="44">
        <v>27925</v>
      </c>
      <c r="Y9" s="44">
        <v>27745</v>
      </c>
      <c r="Z9" s="44">
        <v>24156</v>
      </c>
      <c r="AA9" s="44">
        <v>27011</v>
      </c>
      <c r="AB9" s="44">
        <v>28075</v>
      </c>
      <c r="AC9" s="44">
        <v>28316</v>
      </c>
      <c r="AD9"/>
    </row>
    <row r="10" spans="1:30" x14ac:dyDescent="0.2">
      <c r="A10" s="54" t="s">
        <v>87</v>
      </c>
      <c r="B10" s="54" t="s">
        <v>447</v>
      </c>
      <c r="C10" s="54" t="s">
        <v>446</v>
      </c>
      <c r="D10" s="52">
        <v>19491</v>
      </c>
      <c r="E10" s="52">
        <v>19845</v>
      </c>
      <c r="F10" s="52">
        <v>20430</v>
      </c>
      <c r="G10" s="52">
        <v>21492</v>
      </c>
      <c r="H10" s="52">
        <v>22379</v>
      </c>
      <c r="I10" s="52">
        <v>22990</v>
      </c>
      <c r="J10" s="52">
        <v>24353</v>
      </c>
      <c r="K10" s="52">
        <v>24606</v>
      </c>
      <c r="L10" s="52">
        <v>25259</v>
      </c>
      <c r="M10" s="52">
        <v>25131</v>
      </c>
      <c r="N10" s="52">
        <v>24558</v>
      </c>
      <c r="O10" s="52">
        <v>23196</v>
      </c>
      <c r="P10" s="52">
        <v>23703</v>
      </c>
      <c r="Q10" s="52">
        <v>24179</v>
      </c>
      <c r="R10" s="52">
        <v>24517</v>
      </c>
      <c r="S10" s="52">
        <v>24423</v>
      </c>
      <c r="T10" s="52">
        <v>24740</v>
      </c>
      <c r="U10" s="52">
        <v>25347</v>
      </c>
      <c r="V10" s="52">
        <v>25374</v>
      </c>
      <c r="W10" s="52">
        <v>26099</v>
      </c>
      <c r="X10" s="52">
        <v>26335</v>
      </c>
      <c r="Y10" s="52">
        <v>26924</v>
      </c>
      <c r="Z10" s="52">
        <v>23382</v>
      </c>
      <c r="AA10" s="52">
        <v>26027</v>
      </c>
      <c r="AB10" s="52">
        <v>26684</v>
      </c>
      <c r="AC10" s="52">
        <v>26846</v>
      </c>
      <c r="AD10"/>
    </row>
    <row r="11" spans="1:30" x14ac:dyDescent="0.2">
      <c r="A11" s="53" t="s">
        <v>86</v>
      </c>
      <c r="B11" s="53" t="s">
        <v>445</v>
      </c>
      <c r="C11" s="53" t="s">
        <v>444</v>
      </c>
      <c r="D11" s="44">
        <v>18781</v>
      </c>
      <c r="E11" s="44">
        <v>19729</v>
      </c>
      <c r="F11" s="44">
        <v>20081</v>
      </c>
      <c r="G11" s="44">
        <v>20569</v>
      </c>
      <c r="H11" s="44">
        <v>21009</v>
      </c>
      <c r="I11" s="44">
        <v>21722</v>
      </c>
      <c r="J11" s="44">
        <v>22691</v>
      </c>
      <c r="K11" s="44">
        <v>22601</v>
      </c>
      <c r="L11" s="44">
        <v>23135</v>
      </c>
      <c r="M11" s="44">
        <v>23417</v>
      </c>
      <c r="N11" s="44">
        <v>22962</v>
      </c>
      <c r="O11" s="44">
        <v>21845</v>
      </c>
      <c r="P11" s="44">
        <v>22068</v>
      </c>
      <c r="Q11" s="44">
        <v>21660</v>
      </c>
      <c r="R11" s="44">
        <v>21796</v>
      </c>
      <c r="S11" s="44">
        <v>21555</v>
      </c>
      <c r="T11" s="44">
        <v>21264</v>
      </c>
      <c r="U11" s="44">
        <v>21321</v>
      </c>
      <c r="V11" s="44">
        <v>20891</v>
      </c>
      <c r="W11" s="44">
        <v>21337</v>
      </c>
      <c r="X11" s="44">
        <v>22021</v>
      </c>
      <c r="Y11" s="44">
        <v>22492</v>
      </c>
      <c r="Z11" s="44">
        <v>21339</v>
      </c>
      <c r="AA11" s="44">
        <v>23118</v>
      </c>
      <c r="AB11" s="44">
        <v>23140</v>
      </c>
      <c r="AC11" s="44">
        <v>23775</v>
      </c>
      <c r="AD11"/>
    </row>
    <row r="12" spans="1:30" x14ac:dyDescent="0.2">
      <c r="A12" s="53" t="s">
        <v>86</v>
      </c>
      <c r="B12" s="53" t="s">
        <v>443</v>
      </c>
      <c r="C12" s="53" t="s">
        <v>442</v>
      </c>
      <c r="D12" s="44">
        <v>18503</v>
      </c>
      <c r="E12" s="44">
        <v>18757</v>
      </c>
      <c r="F12" s="44">
        <v>18974</v>
      </c>
      <c r="G12" s="44">
        <v>19697</v>
      </c>
      <c r="H12" s="44">
        <v>20582</v>
      </c>
      <c r="I12" s="44">
        <v>20832</v>
      </c>
      <c r="J12" s="44">
        <v>21851</v>
      </c>
      <c r="K12" s="44">
        <v>21890</v>
      </c>
      <c r="L12" s="44">
        <v>22505</v>
      </c>
      <c r="M12" s="44">
        <v>22143</v>
      </c>
      <c r="N12" s="44">
        <v>21558</v>
      </c>
      <c r="O12" s="44">
        <v>20346</v>
      </c>
      <c r="P12" s="44">
        <v>20912</v>
      </c>
      <c r="Q12" s="44">
        <v>21196</v>
      </c>
      <c r="R12" s="44">
        <v>21293</v>
      </c>
      <c r="S12" s="44">
        <v>21322</v>
      </c>
      <c r="T12" s="44">
        <v>21803</v>
      </c>
      <c r="U12" s="44">
        <v>21972</v>
      </c>
      <c r="V12" s="44">
        <v>21861</v>
      </c>
      <c r="W12" s="44">
        <v>21990</v>
      </c>
      <c r="X12" s="44">
        <v>21975</v>
      </c>
      <c r="Y12" s="44">
        <v>22669</v>
      </c>
      <c r="Z12" s="44">
        <v>19589</v>
      </c>
      <c r="AA12" s="44">
        <v>21331</v>
      </c>
      <c r="AB12" s="44">
        <v>21912</v>
      </c>
      <c r="AC12" s="44">
        <v>21435</v>
      </c>
      <c r="AD12"/>
    </row>
    <row r="13" spans="1:30" x14ac:dyDescent="0.2">
      <c r="A13" s="53" t="s">
        <v>86</v>
      </c>
      <c r="B13" s="53" t="s">
        <v>441</v>
      </c>
      <c r="C13" s="53" t="s">
        <v>440</v>
      </c>
      <c r="D13" s="44">
        <v>19986</v>
      </c>
      <c r="E13" s="44">
        <v>20124</v>
      </c>
      <c r="F13" s="44">
        <v>20860</v>
      </c>
      <c r="G13" s="44">
        <v>22002</v>
      </c>
      <c r="H13" s="44">
        <v>23112</v>
      </c>
      <c r="I13" s="44">
        <v>23723</v>
      </c>
      <c r="J13" s="44">
        <v>25330</v>
      </c>
      <c r="K13" s="44">
        <v>25836</v>
      </c>
      <c r="L13" s="44">
        <v>26538</v>
      </c>
      <c r="M13" s="44">
        <v>26284</v>
      </c>
      <c r="N13" s="44">
        <v>25474</v>
      </c>
      <c r="O13" s="44">
        <v>23935</v>
      </c>
      <c r="P13" s="44">
        <v>24775</v>
      </c>
      <c r="Q13" s="44">
        <v>25714</v>
      </c>
      <c r="R13" s="44">
        <v>26402</v>
      </c>
      <c r="S13" s="44">
        <v>25844</v>
      </c>
      <c r="T13" s="44">
        <v>26373</v>
      </c>
      <c r="U13" s="44">
        <v>27225</v>
      </c>
      <c r="V13" s="44">
        <v>27559</v>
      </c>
      <c r="W13" s="44">
        <v>28625</v>
      </c>
      <c r="X13" s="44">
        <v>28817</v>
      </c>
      <c r="Y13" s="44">
        <v>29482</v>
      </c>
      <c r="Z13" s="44">
        <v>24884</v>
      </c>
      <c r="AA13" s="44">
        <v>28681</v>
      </c>
      <c r="AB13" s="44">
        <v>29821</v>
      </c>
      <c r="AC13" s="44">
        <v>29982</v>
      </c>
      <c r="AD13"/>
    </row>
    <row r="14" spans="1:30" x14ac:dyDescent="0.2">
      <c r="A14" s="53" t="s">
        <v>86</v>
      </c>
      <c r="B14" s="53" t="s">
        <v>439</v>
      </c>
      <c r="C14" s="53" t="s">
        <v>438</v>
      </c>
      <c r="D14" s="44">
        <v>21186</v>
      </c>
      <c r="E14" s="44">
        <v>21457</v>
      </c>
      <c r="F14" s="44">
        <v>22368</v>
      </c>
      <c r="G14" s="44">
        <v>24531</v>
      </c>
      <c r="H14" s="44">
        <v>25494</v>
      </c>
      <c r="I14" s="44">
        <v>26381</v>
      </c>
      <c r="J14" s="44">
        <v>28107</v>
      </c>
      <c r="K14" s="44">
        <v>28372</v>
      </c>
      <c r="L14" s="44">
        <v>29155</v>
      </c>
      <c r="M14" s="44">
        <v>28997</v>
      </c>
      <c r="N14" s="44">
        <v>28993</v>
      </c>
      <c r="O14" s="44">
        <v>27531</v>
      </c>
      <c r="P14" s="44">
        <v>27428</v>
      </c>
      <c r="Q14" s="44">
        <v>28226</v>
      </c>
      <c r="R14" s="44">
        <v>28048</v>
      </c>
      <c r="S14" s="44">
        <v>29548</v>
      </c>
      <c r="T14" s="44">
        <v>30093</v>
      </c>
      <c r="U14" s="44">
        <v>31379</v>
      </c>
      <c r="V14" s="44">
        <v>31344</v>
      </c>
      <c r="W14" s="44">
        <v>32211</v>
      </c>
      <c r="X14" s="44">
        <v>31984</v>
      </c>
      <c r="Y14" s="44">
        <v>32493</v>
      </c>
      <c r="Z14" s="44">
        <v>27194</v>
      </c>
      <c r="AA14" s="44">
        <v>28901</v>
      </c>
      <c r="AB14" s="44">
        <v>29240</v>
      </c>
      <c r="AC14" s="44">
        <v>29222</v>
      </c>
      <c r="AD14"/>
    </row>
    <row r="15" spans="1:30" x14ac:dyDescent="0.2">
      <c r="A15" s="51" t="s">
        <v>88</v>
      </c>
      <c r="B15" s="51" t="s">
        <v>437</v>
      </c>
      <c r="C15" s="51" t="s">
        <v>436</v>
      </c>
      <c r="D15" s="57">
        <v>23043</v>
      </c>
      <c r="E15" s="57">
        <v>24097</v>
      </c>
      <c r="F15" s="57">
        <v>24641</v>
      </c>
      <c r="G15" s="57">
        <v>25549</v>
      </c>
      <c r="H15" s="57">
        <v>26098</v>
      </c>
      <c r="I15" s="57">
        <v>26819</v>
      </c>
      <c r="J15" s="57">
        <v>27648</v>
      </c>
      <c r="K15" s="57">
        <v>28167</v>
      </c>
      <c r="L15" s="57">
        <v>28917</v>
      </c>
      <c r="M15" s="57">
        <v>29306</v>
      </c>
      <c r="N15" s="57">
        <v>28765</v>
      </c>
      <c r="O15" s="57">
        <v>27448</v>
      </c>
      <c r="P15" s="57">
        <v>28259</v>
      </c>
      <c r="Q15" s="57">
        <v>28332</v>
      </c>
      <c r="R15" s="57">
        <v>28778</v>
      </c>
      <c r="S15" s="57">
        <v>29151</v>
      </c>
      <c r="T15" s="57">
        <v>29871</v>
      </c>
      <c r="U15" s="57">
        <v>30468</v>
      </c>
      <c r="V15" s="57">
        <v>30751</v>
      </c>
      <c r="W15" s="57">
        <v>31553</v>
      </c>
      <c r="X15" s="57">
        <v>31660</v>
      </c>
      <c r="Y15" s="57">
        <v>32140</v>
      </c>
      <c r="Z15" s="57">
        <v>29099</v>
      </c>
      <c r="AA15" s="57">
        <v>31830</v>
      </c>
      <c r="AB15" s="57">
        <v>33180</v>
      </c>
      <c r="AC15" s="57">
        <v>32776</v>
      </c>
      <c r="AD15"/>
    </row>
    <row r="16" spans="1:30" x14ac:dyDescent="0.2">
      <c r="A16" s="49" t="s">
        <v>87</v>
      </c>
      <c r="B16" s="49" t="s">
        <v>435</v>
      </c>
      <c r="C16" s="49" t="s">
        <v>434</v>
      </c>
      <c r="D16" s="52">
        <v>24334</v>
      </c>
      <c r="E16" s="52">
        <v>25216</v>
      </c>
      <c r="F16" s="52">
        <v>24840</v>
      </c>
      <c r="G16" s="52">
        <v>24509</v>
      </c>
      <c r="H16" s="52">
        <v>25167</v>
      </c>
      <c r="I16" s="52">
        <v>26175</v>
      </c>
      <c r="J16" s="52">
        <v>26308</v>
      </c>
      <c r="K16" s="52">
        <v>26819</v>
      </c>
      <c r="L16" s="52">
        <v>28121</v>
      </c>
      <c r="M16" s="52">
        <v>27798</v>
      </c>
      <c r="N16" s="52">
        <v>28360</v>
      </c>
      <c r="O16" s="52">
        <v>26680</v>
      </c>
      <c r="P16" s="52">
        <v>27352</v>
      </c>
      <c r="Q16" s="52">
        <v>26953</v>
      </c>
      <c r="R16" s="52">
        <v>27988</v>
      </c>
      <c r="S16" s="52">
        <v>28298</v>
      </c>
      <c r="T16" s="52">
        <v>29551</v>
      </c>
      <c r="U16" s="52">
        <v>30119</v>
      </c>
      <c r="V16" s="52">
        <v>29926</v>
      </c>
      <c r="W16" s="52">
        <v>30308</v>
      </c>
      <c r="X16" s="52">
        <v>29826</v>
      </c>
      <c r="Y16" s="52">
        <v>30854</v>
      </c>
      <c r="Z16" s="52">
        <v>27152</v>
      </c>
      <c r="AA16" s="52">
        <v>28522</v>
      </c>
      <c r="AB16" s="52">
        <v>30717</v>
      </c>
      <c r="AC16" s="52">
        <v>30532</v>
      </c>
      <c r="AD16"/>
    </row>
    <row r="17" spans="1:30" x14ac:dyDescent="0.2">
      <c r="A17" s="45" t="s">
        <v>86</v>
      </c>
      <c r="B17" s="45" t="s">
        <v>433</v>
      </c>
      <c r="C17" s="45" t="s">
        <v>432</v>
      </c>
      <c r="D17" s="44">
        <v>25261</v>
      </c>
      <c r="E17" s="44">
        <v>27383</v>
      </c>
      <c r="F17" s="44">
        <v>26136</v>
      </c>
      <c r="G17" s="44">
        <v>26204</v>
      </c>
      <c r="H17" s="44">
        <v>26343</v>
      </c>
      <c r="I17" s="44">
        <v>26918</v>
      </c>
      <c r="J17" s="44">
        <v>26467</v>
      </c>
      <c r="K17" s="44">
        <v>27393</v>
      </c>
      <c r="L17" s="44">
        <v>29028</v>
      </c>
      <c r="M17" s="44">
        <v>28254</v>
      </c>
      <c r="N17" s="44">
        <v>28617</v>
      </c>
      <c r="O17" s="44">
        <v>27487</v>
      </c>
      <c r="P17" s="44">
        <v>27821</v>
      </c>
      <c r="Q17" s="44">
        <v>27030</v>
      </c>
      <c r="R17" s="44">
        <v>27925</v>
      </c>
      <c r="S17" s="44">
        <v>28721</v>
      </c>
      <c r="T17" s="44">
        <v>30299</v>
      </c>
      <c r="U17" s="44">
        <v>31043</v>
      </c>
      <c r="V17" s="44">
        <v>30217</v>
      </c>
      <c r="W17" s="44">
        <v>29513</v>
      </c>
      <c r="X17" s="44">
        <v>28886</v>
      </c>
      <c r="Y17" s="44">
        <v>29024</v>
      </c>
      <c r="Z17" s="44">
        <v>24696</v>
      </c>
      <c r="AA17" s="44">
        <v>25615</v>
      </c>
      <c r="AB17" s="44">
        <v>27689</v>
      </c>
      <c r="AC17" s="44">
        <v>27248</v>
      </c>
      <c r="AD17"/>
    </row>
    <row r="18" spans="1:30" x14ac:dyDescent="0.2">
      <c r="A18" s="45" t="s">
        <v>86</v>
      </c>
      <c r="B18" s="45" t="s">
        <v>431</v>
      </c>
      <c r="C18" s="45" t="s">
        <v>430</v>
      </c>
      <c r="D18" s="44">
        <v>24525</v>
      </c>
      <c r="E18" s="44">
        <v>24828</v>
      </c>
      <c r="F18" s="44">
        <v>25434</v>
      </c>
      <c r="G18" s="44">
        <v>24849</v>
      </c>
      <c r="H18" s="44">
        <v>26172</v>
      </c>
      <c r="I18" s="44">
        <v>27486</v>
      </c>
      <c r="J18" s="44">
        <v>28088</v>
      </c>
      <c r="K18" s="44">
        <v>28017</v>
      </c>
      <c r="L18" s="44">
        <v>29492</v>
      </c>
      <c r="M18" s="44">
        <v>29488</v>
      </c>
      <c r="N18" s="44">
        <v>29782</v>
      </c>
      <c r="O18" s="44">
        <v>28178</v>
      </c>
      <c r="P18" s="44">
        <v>29134</v>
      </c>
      <c r="Q18" s="44">
        <v>29314</v>
      </c>
      <c r="R18" s="44">
        <v>30033</v>
      </c>
      <c r="S18" s="44">
        <v>30069</v>
      </c>
      <c r="T18" s="44">
        <v>30848</v>
      </c>
      <c r="U18" s="44">
        <v>31491</v>
      </c>
      <c r="V18" s="44">
        <v>31285</v>
      </c>
      <c r="W18" s="44">
        <v>32374</v>
      </c>
      <c r="X18" s="44">
        <v>32173</v>
      </c>
      <c r="Y18" s="44">
        <v>34231</v>
      </c>
      <c r="Z18" s="44">
        <v>31293</v>
      </c>
      <c r="AA18" s="44">
        <v>33222</v>
      </c>
      <c r="AB18" s="44">
        <v>34379</v>
      </c>
      <c r="AC18" s="44">
        <v>34420</v>
      </c>
      <c r="AD18"/>
    </row>
    <row r="19" spans="1:30" x14ac:dyDescent="0.2">
      <c r="A19" s="49" t="s">
        <v>87</v>
      </c>
      <c r="B19" s="49" t="s">
        <v>429</v>
      </c>
      <c r="C19" s="49" t="s">
        <v>428</v>
      </c>
      <c r="D19" s="52">
        <v>22637</v>
      </c>
      <c r="E19" s="52">
        <v>23703</v>
      </c>
      <c r="F19" s="52">
        <v>24283</v>
      </c>
      <c r="G19" s="52">
        <v>25036</v>
      </c>
      <c r="H19" s="52">
        <v>25514</v>
      </c>
      <c r="I19" s="52">
        <v>25936</v>
      </c>
      <c r="J19" s="52">
        <v>26652</v>
      </c>
      <c r="K19" s="52">
        <v>27417</v>
      </c>
      <c r="L19" s="52">
        <v>27965</v>
      </c>
      <c r="M19" s="52">
        <v>28795</v>
      </c>
      <c r="N19" s="52">
        <v>28072</v>
      </c>
      <c r="O19" s="52">
        <v>27082</v>
      </c>
      <c r="P19" s="52">
        <v>27738</v>
      </c>
      <c r="Q19" s="52">
        <v>27649</v>
      </c>
      <c r="R19" s="52">
        <v>28426</v>
      </c>
      <c r="S19" s="52">
        <v>28976</v>
      </c>
      <c r="T19" s="52">
        <v>29247</v>
      </c>
      <c r="U19" s="52">
        <v>29998</v>
      </c>
      <c r="V19" s="52">
        <v>30273</v>
      </c>
      <c r="W19" s="52">
        <v>31610</v>
      </c>
      <c r="X19" s="52">
        <v>32141</v>
      </c>
      <c r="Y19" s="52">
        <v>32498</v>
      </c>
      <c r="Z19" s="52">
        <v>29994</v>
      </c>
      <c r="AA19" s="52">
        <v>32580</v>
      </c>
      <c r="AB19" s="52">
        <v>34681</v>
      </c>
      <c r="AC19" s="52">
        <v>34330</v>
      </c>
      <c r="AD19"/>
    </row>
    <row r="20" spans="1:30" x14ac:dyDescent="0.2">
      <c r="A20" s="45" t="s">
        <v>86</v>
      </c>
      <c r="B20" s="45" t="s">
        <v>427</v>
      </c>
      <c r="C20" s="45" t="s">
        <v>426</v>
      </c>
      <c r="D20" s="44">
        <v>36781</v>
      </c>
      <c r="E20" s="44">
        <v>38253</v>
      </c>
      <c r="F20" s="44">
        <v>38862</v>
      </c>
      <c r="G20" s="44">
        <v>40010</v>
      </c>
      <c r="H20" s="44">
        <v>40560</v>
      </c>
      <c r="I20" s="44">
        <v>40901</v>
      </c>
      <c r="J20" s="44">
        <v>42147</v>
      </c>
      <c r="K20" s="44">
        <v>43525</v>
      </c>
      <c r="L20" s="44">
        <v>44148</v>
      </c>
      <c r="M20" s="44">
        <v>46436</v>
      </c>
      <c r="N20" s="44">
        <v>45566</v>
      </c>
      <c r="O20" s="44">
        <v>43825</v>
      </c>
      <c r="P20" s="44">
        <v>44731</v>
      </c>
      <c r="Q20" s="44">
        <v>44007</v>
      </c>
      <c r="R20" s="44">
        <v>45231</v>
      </c>
      <c r="S20" s="44">
        <v>45163</v>
      </c>
      <c r="T20" s="44">
        <v>45540</v>
      </c>
      <c r="U20" s="44">
        <v>46592</v>
      </c>
      <c r="V20" s="44">
        <v>48007</v>
      </c>
      <c r="W20" s="44">
        <v>51653</v>
      </c>
      <c r="X20" s="44">
        <v>52437</v>
      </c>
      <c r="Y20" s="44">
        <v>54633</v>
      </c>
      <c r="Z20" s="44">
        <v>49293</v>
      </c>
      <c r="AA20" s="44">
        <v>54506</v>
      </c>
      <c r="AB20" s="44">
        <v>60679</v>
      </c>
      <c r="AC20" s="44">
        <v>60419</v>
      </c>
      <c r="AD20"/>
    </row>
    <row r="21" spans="1:30" x14ac:dyDescent="0.2">
      <c r="A21" s="45" t="s">
        <v>86</v>
      </c>
      <c r="B21" s="45" t="s">
        <v>425</v>
      </c>
      <c r="C21" s="45" t="s">
        <v>424</v>
      </c>
      <c r="D21" s="44">
        <v>29629</v>
      </c>
      <c r="E21" s="44">
        <v>31055</v>
      </c>
      <c r="F21" s="44">
        <v>32128</v>
      </c>
      <c r="G21" s="44">
        <v>33363</v>
      </c>
      <c r="H21" s="44">
        <v>34206</v>
      </c>
      <c r="I21" s="44">
        <v>34670</v>
      </c>
      <c r="J21" s="44">
        <v>35533</v>
      </c>
      <c r="K21" s="44">
        <v>36413</v>
      </c>
      <c r="L21" s="44">
        <v>36896</v>
      </c>
      <c r="M21" s="44">
        <v>38058</v>
      </c>
      <c r="N21" s="44">
        <v>37150</v>
      </c>
      <c r="O21" s="44">
        <v>35073</v>
      </c>
      <c r="P21" s="44">
        <v>35497</v>
      </c>
      <c r="Q21" s="44">
        <v>34961</v>
      </c>
      <c r="R21" s="44">
        <v>36127</v>
      </c>
      <c r="S21" s="44">
        <v>37330</v>
      </c>
      <c r="T21" s="44">
        <v>38263</v>
      </c>
      <c r="U21" s="44">
        <v>39300</v>
      </c>
      <c r="V21" s="44">
        <v>38705</v>
      </c>
      <c r="W21" s="44">
        <v>39737</v>
      </c>
      <c r="X21" s="44">
        <v>41303</v>
      </c>
      <c r="Y21" s="44">
        <v>41650</v>
      </c>
      <c r="Z21" s="44">
        <v>40192</v>
      </c>
      <c r="AA21" s="44">
        <v>43666</v>
      </c>
      <c r="AB21" s="44">
        <v>45142</v>
      </c>
      <c r="AC21" s="44">
        <v>43867</v>
      </c>
      <c r="AD21"/>
    </row>
    <row r="22" spans="1:30" x14ac:dyDescent="0.2">
      <c r="A22" s="45" t="s">
        <v>86</v>
      </c>
      <c r="B22" s="45" t="s">
        <v>423</v>
      </c>
      <c r="C22" s="45" t="s">
        <v>422</v>
      </c>
      <c r="D22" s="44">
        <v>19105</v>
      </c>
      <c r="E22" s="44">
        <v>20199</v>
      </c>
      <c r="F22" s="44">
        <v>20986</v>
      </c>
      <c r="G22" s="44">
        <v>21543</v>
      </c>
      <c r="H22" s="44">
        <v>22071</v>
      </c>
      <c r="I22" s="44">
        <v>22588</v>
      </c>
      <c r="J22" s="44">
        <v>23007</v>
      </c>
      <c r="K22" s="44">
        <v>23568</v>
      </c>
      <c r="L22" s="44">
        <v>24163</v>
      </c>
      <c r="M22" s="44">
        <v>24583</v>
      </c>
      <c r="N22" s="44">
        <v>24101</v>
      </c>
      <c r="O22" s="44">
        <v>23383</v>
      </c>
      <c r="P22" s="44">
        <v>23750</v>
      </c>
      <c r="Q22" s="44">
        <v>23671</v>
      </c>
      <c r="R22" s="44">
        <v>24053</v>
      </c>
      <c r="S22" s="44">
        <v>24160</v>
      </c>
      <c r="T22" s="44">
        <v>24044</v>
      </c>
      <c r="U22" s="44">
        <v>23866</v>
      </c>
      <c r="V22" s="44">
        <v>24052</v>
      </c>
      <c r="W22" s="44">
        <v>25325</v>
      </c>
      <c r="X22" s="44">
        <v>25601</v>
      </c>
      <c r="Y22" s="44">
        <v>25197</v>
      </c>
      <c r="Z22" s="44">
        <v>23360</v>
      </c>
      <c r="AA22" s="44">
        <v>24938</v>
      </c>
      <c r="AB22" s="44">
        <v>26177</v>
      </c>
      <c r="AC22" s="44">
        <v>25902</v>
      </c>
      <c r="AD22"/>
    </row>
    <row r="23" spans="1:30" x14ac:dyDescent="0.2">
      <c r="A23" s="45" t="s">
        <v>86</v>
      </c>
      <c r="B23" s="45" t="s">
        <v>421</v>
      </c>
      <c r="C23" s="45" t="s">
        <v>420</v>
      </c>
      <c r="D23" s="44">
        <v>19755</v>
      </c>
      <c r="E23" s="44">
        <v>20535</v>
      </c>
      <c r="F23" s="44">
        <v>20690</v>
      </c>
      <c r="G23" s="44">
        <v>21304</v>
      </c>
      <c r="H23" s="44">
        <v>21299</v>
      </c>
      <c r="I23" s="44">
        <v>21557</v>
      </c>
      <c r="J23" s="44">
        <v>22005</v>
      </c>
      <c r="K23" s="44">
        <v>22261</v>
      </c>
      <c r="L23" s="44">
        <v>22592</v>
      </c>
      <c r="M23" s="44">
        <v>22644</v>
      </c>
      <c r="N23" s="44">
        <v>21452</v>
      </c>
      <c r="O23" s="44">
        <v>20559</v>
      </c>
      <c r="P23" s="44">
        <v>20918</v>
      </c>
      <c r="Q23" s="44">
        <v>20914</v>
      </c>
      <c r="R23" s="44">
        <v>21344</v>
      </c>
      <c r="S23" s="44">
        <v>22029</v>
      </c>
      <c r="T23" s="44">
        <v>22186</v>
      </c>
      <c r="U23" s="44">
        <v>22867</v>
      </c>
      <c r="V23" s="44">
        <v>23237</v>
      </c>
      <c r="W23" s="44">
        <v>23671</v>
      </c>
      <c r="X23" s="44">
        <v>23849</v>
      </c>
      <c r="Y23" s="44">
        <v>23079</v>
      </c>
      <c r="Z23" s="44">
        <v>21589</v>
      </c>
      <c r="AA23" s="44">
        <v>22984</v>
      </c>
      <c r="AB23" s="44">
        <v>23341</v>
      </c>
      <c r="AC23" s="44">
        <v>23190</v>
      </c>
      <c r="AD23"/>
    </row>
    <row r="24" spans="1:30" x14ac:dyDescent="0.2">
      <c r="A24" s="45" t="s">
        <v>86</v>
      </c>
      <c r="B24" s="45" t="s">
        <v>419</v>
      </c>
      <c r="C24" s="45" t="s">
        <v>418</v>
      </c>
      <c r="D24" s="44">
        <v>16157</v>
      </c>
      <c r="E24" s="44">
        <v>16997</v>
      </c>
      <c r="F24" s="44">
        <v>17570</v>
      </c>
      <c r="G24" s="44">
        <v>18051</v>
      </c>
      <c r="H24" s="44">
        <v>18540</v>
      </c>
      <c r="I24" s="44">
        <v>18812</v>
      </c>
      <c r="J24" s="44">
        <v>19545</v>
      </c>
      <c r="K24" s="44">
        <v>20005</v>
      </c>
      <c r="L24" s="44">
        <v>20563</v>
      </c>
      <c r="M24" s="44">
        <v>20870</v>
      </c>
      <c r="N24" s="44">
        <v>20263</v>
      </c>
      <c r="O24" s="44">
        <v>19546</v>
      </c>
      <c r="P24" s="44">
        <v>20145</v>
      </c>
      <c r="Q24" s="44">
        <v>20343</v>
      </c>
      <c r="R24" s="44">
        <v>20957</v>
      </c>
      <c r="S24" s="44">
        <v>21264</v>
      </c>
      <c r="T24" s="44">
        <v>21369</v>
      </c>
      <c r="U24" s="44">
        <v>21979</v>
      </c>
      <c r="V24" s="44">
        <v>21842</v>
      </c>
      <c r="W24" s="44">
        <v>22241</v>
      </c>
      <c r="X24" s="44">
        <v>22165</v>
      </c>
      <c r="Y24" s="44">
        <v>22557</v>
      </c>
      <c r="Z24" s="44">
        <v>19937</v>
      </c>
      <c r="AA24" s="44">
        <v>21170</v>
      </c>
      <c r="AB24" s="44">
        <v>21998</v>
      </c>
      <c r="AC24" s="44">
        <v>21923</v>
      </c>
      <c r="AD24"/>
    </row>
    <row r="25" spans="1:30" x14ac:dyDescent="0.2">
      <c r="A25" s="49" t="s">
        <v>87</v>
      </c>
      <c r="B25" s="49" t="s">
        <v>417</v>
      </c>
      <c r="C25" s="49" t="s">
        <v>416</v>
      </c>
      <c r="D25" s="52">
        <v>22608</v>
      </c>
      <c r="E25" s="52">
        <v>23632</v>
      </c>
      <c r="F25" s="52">
        <v>24049</v>
      </c>
      <c r="G25" s="52">
        <v>24451</v>
      </c>
      <c r="H25" s="52">
        <v>24991</v>
      </c>
      <c r="I25" s="52">
        <v>26288</v>
      </c>
      <c r="J25" s="52">
        <v>27308</v>
      </c>
      <c r="K25" s="52">
        <v>27391</v>
      </c>
      <c r="L25" s="52">
        <v>27457</v>
      </c>
      <c r="M25" s="52">
        <v>27781</v>
      </c>
      <c r="N25" s="52">
        <v>27145</v>
      </c>
      <c r="O25" s="52">
        <v>25055</v>
      </c>
      <c r="P25" s="52">
        <v>25900</v>
      </c>
      <c r="Q25" s="52">
        <v>26449</v>
      </c>
      <c r="R25" s="52">
        <v>26685</v>
      </c>
      <c r="S25" s="52">
        <v>26716</v>
      </c>
      <c r="T25" s="52">
        <v>27348</v>
      </c>
      <c r="U25" s="52">
        <v>28073</v>
      </c>
      <c r="V25" s="52">
        <v>28786</v>
      </c>
      <c r="W25" s="52">
        <v>28999</v>
      </c>
      <c r="X25" s="52">
        <v>28601</v>
      </c>
      <c r="Y25" s="52">
        <v>28762</v>
      </c>
      <c r="Z25" s="52">
        <v>25695</v>
      </c>
      <c r="AA25" s="52">
        <v>28747</v>
      </c>
      <c r="AB25" s="52">
        <v>29302</v>
      </c>
      <c r="AC25" s="52">
        <v>28633</v>
      </c>
      <c r="AD25"/>
    </row>
    <row r="26" spans="1:30" x14ac:dyDescent="0.2">
      <c r="A26" s="45" t="s">
        <v>86</v>
      </c>
      <c r="B26" s="45" t="s">
        <v>415</v>
      </c>
      <c r="C26" s="45" t="s">
        <v>414</v>
      </c>
      <c r="D26" s="44">
        <v>18135</v>
      </c>
      <c r="E26" s="44">
        <v>19207</v>
      </c>
      <c r="F26" s="44">
        <v>19526</v>
      </c>
      <c r="G26" s="44">
        <v>19973</v>
      </c>
      <c r="H26" s="44">
        <v>20508</v>
      </c>
      <c r="I26" s="44">
        <v>21666</v>
      </c>
      <c r="J26" s="44">
        <v>22387</v>
      </c>
      <c r="K26" s="44">
        <v>22301</v>
      </c>
      <c r="L26" s="44">
        <v>22593</v>
      </c>
      <c r="M26" s="44">
        <v>22828</v>
      </c>
      <c r="N26" s="44">
        <v>22506</v>
      </c>
      <c r="O26" s="44">
        <v>21119</v>
      </c>
      <c r="P26" s="44">
        <v>22065</v>
      </c>
      <c r="Q26" s="44">
        <v>22287</v>
      </c>
      <c r="R26" s="44">
        <v>23466</v>
      </c>
      <c r="S26" s="44">
        <v>23684</v>
      </c>
      <c r="T26" s="44">
        <v>24595</v>
      </c>
      <c r="U26" s="44">
        <v>25890</v>
      </c>
      <c r="V26" s="44">
        <v>26239</v>
      </c>
      <c r="W26" s="44">
        <v>26200</v>
      </c>
      <c r="X26" s="44">
        <v>26100</v>
      </c>
      <c r="Y26" s="44">
        <v>26143</v>
      </c>
      <c r="Z26" s="44">
        <v>23220</v>
      </c>
      <c r="AA26" s="44">
        <v>27049</v>
      </c>
      <c r="AB26" s="44">
        <v>28295</v>
      </c>
      <c r="AC26" s="44">
        <v>27576</v>
      </c>
      <c r="AD26"/>
    </row>
    <row r="27" spans="1:30" x14ac:dyDescent="0.2">
      <c r="A27" s="45" t="s">
        <v>86</v>
      </c>
      <c r="B27" s="45" t="s">
        <v>413</v>
      </c>
      <c r="C27" s="45" t="s">
        <v>412</v>
      </c>
      <c r="D27" s="44">
        <v>20633</v>
      </c>
      <c r="E27" s="44">
        <v>20921</v>
      </c>
      <c r="F27" s="44">
        <v>20856</v>
      </c>
      <c r="G27" s="44">
        <v>21297</v>
      </c>
      <c r="H27" s="44">
        <v>21746</v>
      </c>
      <c r="I27" s="44">
        <v>22629</v>
      </c>
      <c r="J27" s="44">
        <v>23554</v>
      </c>
      <c r="K27" s="44">
        <v>23414</v>
      </c>
      <c r="L27" s="44">
        <v>23411</v>
      </c>
      <c r="M27" s="44">
        <v>23088</v>
      </c>
      <c r="N27" s="44">
        <v>22356</v>
      </c>
      <c r="O27" s="44">
        <v>20912</v>
      </c>
      <c r="P27" s="44">
        <v>21925</v>
      </c>
      <c r="Q27" s="44">
        <v>22296</v>
      </c>
      <c r="R27" s="44">
        <v>22381</v>
      </c>
      <c r="S27" s="44">
        <v>22410</v>
      </c>
      <c r="T27" s="44">
        <v>22673</v>
      </c>
      <c r="U27" s="44">
        <v>23225</v>
      </c>
      <c r="V27" s="44">
        <v>24073</v>
      </c>
      <c r="W27" s="44">
        <v>24998</v>
      </c>
      <c r="X27" s="44">
        <v>25364</v>
      </c>
      <c r="Y27" s="44">
        <v>26277</v>
      </c>
      <c r="Z27" s="44">
        <v>21589</v>
      </c>
      <c r="AA27" s="44">
        <v>23751</v>
      </c>
      <c r="AB27" s="44">
        <v>25637</v>
      </c>
      <c r="AC27" s="44">
        <v>24393</v>
      </c>
      <c r="AD27"/>
    </row>
    <row r="28" spans="1:30" x14ac:dyDescent="0.2">
      <c r="A28" s="45" t="s">
        <v>86</v>
      </c>
      <c r="B28" s="45" t="s">
        <v>411</v>
      </c>
      <c r="C28" s="45" t="s">
        <v>410</v>
      </c>
      <c r="D28" s="44">
        <v>20762</v>
      </c>
      <c r="E28" s="44">
        <v>21803</v>
      </c>
      <c r="F28" s="44">
        <v>21226</v>
      </c>
      <c r="G28" s="44">
        <v>21630</v>
      </c>
      <c r="H28" s="44">
        <v>22220</v>
      </c>
      <c r="I28" s="44">
        <v>23842</v>
      </c>
      <c r="J28" s="44">
        <v>24268</v>
      </c>
      <c r="K28" s="44">
        <v>24036</v>
      </c>
      <c r="L28" s="44">
        <v>24054</v>
      </c>
      <c r="M28" s="44">
        <v>23671</v>
      </c>
      <c r="N28" s="44">
        <v>22674</v>
      </c>
      <c r="O28" s="44">
        <v>20235</v>
      </c>
      <c r="P28" s="44">
        <v>20734</v>
      </c>
      <c r="Q28" s="44">
        <v>21024</v>
      </c>
      <c r="R28" s="44">
        <v>21241</v>
      </c>
      <c r="S28" s="44">
        <v>22057</v>
      </c>
      <c r="T28" s="44">
        <v>22065</v>
      </c>
      <c r="U28" s="44">
        <v>24199</v>
      </c>
      <c r="V28" s="44">
        <v>24186</v>
      </c>
      <c r="W28" s="44">
        <v>23946</v>
      </c>
      <c r="X28" s="44">
        <v>23901</v>
      </c>
      <c r="Y28" s="44">
        <v>24409</v>
      </c>
      <c r="Z28" s="44">
        <v>21815</v>
      </c>
      <c r="AA28" s="44">
        <v>23797</v>
      </c>
      <c r="AB28" s="44">
        <v>24309</v>
      </c>
      <c r="AC28" s="44">
        <v>23856</v>
      </c>
      <c r="AD28"/>
    </row>
    <row r="29" spans="1:30" x14ac:dyDescent="0.2">
      <c r="A29" s="45" t="s">
        <v>86</v>
      </c>
      <c r="B29" s="45" t="s">
        <v>409</v>
      </c>
      <c r="C29" s="45" t="s">
        <v>408</v>
      </c>
      <c r="D29" s="44">
        <v>32076</v>
      </c>
      <c r="E29" s="44">
        <v>33648</v>
      </c>
      <c r="F29" s="44">
        <v>34994</v>
      </c>
      <c r="G29" s="44">
        <v>35704</v>
      </c>
      <c r="H29" s="44">
        <v>36089</v>
      </c>
      <c r="I29" s="44">
        <v>37896</v>
      </c>
      <c r="J29" s="44">
        <v>39376</v>
      </c>
      <c r="K29" s="44">
        <v>39571</v>
      </c>
      <c r="L29" s="44">
        <v>39390</v>
      </c>
      <c r="M29" s="44">
        <v>40254</v>
      </c>
      <c r="N29" s="44">
        <v>39263</v>
      </c>
      <c r="O29" s="44">
        <v>36084</v>
      </c>
      <c r="P29" s="44">
        <v>36865</v>
      </c>
      <c r="Q29" s="44">
        <v>37130</v>
      </c>
      <c r="R29" s="44">
        <v>37309</v>
      </c>
      <c r="S29" s="44">
        <v>37321</v>
      </c>
      <c r="T29" s="44">
        <v>38011</v>
      </c>
      <c r="U29" s="44">
        <v>38769</v>
      </c>
      <c r="V29" s="44">
        <v>40136</v>
      </c>
      <c r="W29" s="44">
        <v>40347</v>
      </c>
      <c r="X29" s="44">
        <v>38786</v>
      </c>
      <c r="Y29" s="44">
        <v>38315</v>
      </c>
      <c r="Z29" s="44">
        <v>35387</v>
      </c>
      <c r="AA29" s="44">
        <v>39501</v>
      </c>
      <c r="AB29" s="44">
        <v>39712</v>
      </c>
      <c r="AC29" s="44">
        <v>38626</v>
      </c>
      <c r="AD29"/>
    </row>
    <row r="30" spans="1:30" x14ac:dyDescent="0.2">
      <c r="A30" s="45" t="s">
        <v>86</v>
      </c>
      <c r="B30" s="45" t="s">
        <v>407</v>
      </c>
      <c r="C30" s="45" t="s">
        <v>406</v>
      </c>
      <c r="D30" s="44">
        <v>16994</v>
      </c>
      <c r="E30" s="44">
        <v>18152</v>
      </c>
      <c r="F30" s="44">
        <v>18655</v>
      </c>
      <c r="G30" s="44">
        <v>19002</v>
      </c>
      <c r="H30" s="44">
        <v>19469</v>
      </c>
      <c r="I30" s="44">
        <v>20516</v>
      </c>
      <c r="J30" s="44">
        <v>21511</v>
      </c>
      <c r="K30" s="44">
        <v>21940</v>
      </c>
      <c r="L30" s="44">
        <v>22516</v>
      </c>
      <c r="M30" s="44">
        <v>22755</v>
      </c>
      <c r="N30" s="44">
        <v>22154</v>
      </c>
      <c r="O30" s="44">
        <v>20407</v>
      </c>
      <c r="P30" s="44">
        <v>21321</v>
      </c>
      <c r="Q30" s="44">
        <v>22044</v>
      </c>
      <c r="R30" s="44">
        <v>22164</v>
      </c>
      <c r="S30" s="44">
        <v>21889</v>
      </c>
      <c r="T30" s="44">
        <v>22680</v>
      </c>
      <c r="U30" s="44">
        <v>22798</v>
      </c>
      <c r="V30" s="44">
        <v>23505</v>
      </c>
      <c r="W30" s="44">
        <v>23721</v>
      </c>
      <c r="X30" s="44">
        <v>23702</v>
      </c>
      <c r="Y30" s="44">
        <v>23604</v>
      </c>
      <c r="Z30" s="44">
        <v>20727</v>
      </c>
      <c r="AA30" s="44">
        <v>23493</v>
      </c>
      <c r="AB30" s="44">
        <v>23583</v>
      </c>
      <c r="AC30" s="44">
        <v>22850</v>
      </c>
      <c r="AD30"/>
    </row>
    <row r="31" spans="1:30" x14ac:dyDescent="0.2">
      <c r="A31" s="45" t="s">
        <v>86</v>
      </c>
      <c r="B31" s="45" t="s">
        <v>405</v>
      </c>
      <c r="C31" s="45" t="s">
        <v>404</v>
      </c>
      <c r="D31" s="44">
        <v>21199</v>
      </c>
      <c r="E31" s="44">
        <v>21855</v>
      </c>
      <c r="F31" s="44">
        <v>22081</v>
      </c>
      <c r="G31" s="44">
        <v>22259</v>
      </c>
      <c r="H31" s="44">
        <v>22991</v>
      </c>
      <c r="I31" s="44">
        <v>23764</v>
      </c>
      <c r="J31" s="44">
        <v>24464</v>
      </c>
      <c r="K31" s="44">
        <v>24087</v>
      </c>
      <c r="L31" s="44">
        <v>24116</v>
      </c>
      <c r="M31" s="44">
        <v>24255</v>
      </c>
      <c r="N31" s="44">
        <v>23962</v>
      </c>
      <c r="O31" s="44">
        <v>23222</v>
      </c>
      <c r="P31" s="44">
        <v>24277</v>
      </c>
      <c r="Q31" s="44">
        <v>24471</v>
      </c>
      <c r="R31" s="44">
        <v>24219</v>
      </c>
      <c r="S31" s="44">
        <v>24006</v>
      </c>
      <c r="T31" s="44">
        <v>24670</v>
      </c>
      <c r="U31" s="44">
        <v>24592</v>
      </c>
      <c r="V31" s="44">
        <v>25764</v>
      </c>
      <c r="W31" s="44">
        <v>26000</v>
      </c>
      <c r="X31" s="44">
        <v>26129</v>
      </c>
      <c r="Y31" s="44">
        <v>27205</v>
      </c>
      <c r="Z31" s="44">
        <v>24046</v>
      </c>
      <c r="AA31" s="44">
        <v>27328</v>
      </c>
      <c r="AB31" s="44">
        <v>27968</v>
      </c>
      <c r="AC31" s="44">
        <v>28161</v>
      </c>
      <c r="AD31"/>
    </row>
    <row r="32" spans="1:30" x14ac:dyDescent="0.2">
      <c r="A32" s="49" t="s">
        <v>87</v>
      </c>
      <c r="B32" s="49" t="s">
        <v>403</v>
      </c>
      <c r="C32" s="49" t="s">
        <v>402</v>
      </c>
      <c r="D32" s="52">
        <v>29623</v>
      </c>
      <c r="E32" s="52">
        <v>30804</v>
      </c>
      <c r="F32" s="52">
        <v>31561</v>
      </c>
      <c r="G32" s="52">
        <v>34629</v>
      </c>
      <c r="H32" s="52">
        <v>35213</v>
      </c>
      <c r="I32" s="52">
        <v>35040</v>
      </c>
      <c r="J32" s="52">
        <v>36717</v>
      </c>
      <c r="K32" s="52">
        <v>37703</v>
      </c>
      <c r="L32" s="52">
        <v>39402</v>
      </c>
      <c r="M32" s="52">
        <v>39987</v>
      </c>
      <c r="N32" s="52">
        <v>38367</v>
      </c>
      <c r="O32" s="52">
        <v>36325</v>
      </c>
      <c r="P32" s="52">
        <v>37708</v>
      </c>
      <c r="Q32" s="52">
        <v>38161</v>
      </c>
      <c r="R32" s="52">
        <v>39090</v>
      </c>
      <c r="S32" s="52">
        <v>39402</v>
      </c>
      <c r="T32" s="52">
        <v>41103</v>
      </c>
      <c r="U32" s="52">
        <v>41328</v>
      </c>
      <c r="V32" s="52">
        <v>42146</v>
      </c>
      <c r="W32" s="52">
        <v>42631</v>
      </c>
      <c r="X32" s="52">
        <v>42641</v>
      </c>
      <c r="Y32" s="52">
        <v>43236</v>
      </c>
      <c r="Z32" s="52">
        <v>39708</v>
      </c>
      <c r="AA32" s="52">
        <v>41836</v>
      </c>
      <c r="AB32" s="52">
        <v>42822</v>
      </c>
      <c r="AC32" s="52">
        <v>42634</v>
      </c>
      <c r="AD32"/>
    </row>
    <row r="33" spans="1:30" x14ac:dyDescent="0.2">
      <c r="A33" s="45" t="s">
        <v>86</v>
      </c>
      <c r="B33" s="45" t="s">
        <v>401</v>
      </c>
      <c r="C33" s="45" t="s">
        <v>400</v>
      </c>
      <c r="D33" s="44">
        <v>27261</v>
      </c>
      <c r="E33" s="44">
        <v>28094</v>
      </c>
      <c r="F33" s="44">
        <v>29654</v>
      </c>
      <c r="G33" s="44">
        <v>32471</v>
      </c>
      <c r="H33" s="44">
        <v>33282</v>
      </c>
      <c r="I33" s="44">
        <v>34143</v>
      </c>
      <c r="J33" s="44">
        <v>34905</v>
      </c>
      <c r="K33" s="44">
        <v>35798</v>
      </c>
      <c r="L33" s="44">
        <v>36901</v>
      </c>
      <c r="M33" s="44">
        <v>37304</v>
      </c>
      <c r="N33" s="44">
        <v>35306</v>
      </c>
      <c r="O33" s="44">
        <v>33026</v>
      </c>
      <c r="P33" s="44">
        <v>34705</v>
      </c>
      <c r="Q33" s="44">
        <v>35594</v>
      </c>
      <c r="R33" s="44">
        <v>36158</v>
      </c>
      <c r="S33" s="44">
        <v>37238</v>
      </c>
      <c r="T33" s="44">
        <v>38836</v>
      </c>
      <c r="U33" s="44">
        <v>40741</v>
      </c>
      <c r="V33" s="44">
        <v>42217</v>
      </c>
      <c r="W33" s="44">
        <v>44664</v>
      </c>
      <c r="X33" s="44">
        <v>44415</v>
      </c>
      <c r="Y33" s="44">
        <v>46416</v>
      </c>
      <c r="Z33" s="44">
        <v>44335</v>
      </c>
      <c r="AA33" s="44">
        <v>47255</v>
      </c>
      <c r="AB33" s="44">
        <v>48938</v>
      </c>
      <c r="AC33" s="44">
        <v>49674</v>
      </c>
      <c r="AD33"/>
    </row>
    <row r="34" spans="1:30" x14ac:dyDescent="0.2">
      <c r="A34" s="45" t="s">
        <v>86</v>
      </c>
      <c r="B34" s="45" t="s">
        <v>399</v>
      </c>
      <c r="C34" s="45" t="s">
        <v>398</v>
      </c>
      <c r="D34" s="44">
        <v>31004</v>
      </c>
      <c r="E34" s="44">
        <v>32253</v>
      </c>
      <c r="F34" s="44">
        <v>32984</v>
      </c>
      <c r="G34" s="44">
        <v>37389</v>
      </c>
      <c r="H34" s="44">
        <v>37685</v>
      </c>
      <c r="I34" s="44">
        <v>35642</v>
      </c>
      <c r="J34" s="44">
        <v>38945</v>
      </c>
      <c r="K34" s="44">
        <v>40436</v>
      </c>
      <c r="L34" s="44">
        <v>42211</v>
      </c>
      <c r="M34" s="44">
        <v>42013</v>
      </c>
      <c r="N34" s="44">
        <v>39829</v>
      </c>
      <c r="O34" s="44">
        <v>36557</v>
      </c>
      <c r="P34" s="44">
        <v>38133</v>
      </c>
      <c r="Q34" s="44">
        <v>39479</v>
      </c>
      <c r="R34" s="44">
        <v>41051</v>
      </c>
      <c r="S34" s="44">
        <v>41377</v>
      </c>
      <c r="T34" s="44">
        <v>43161</v>
      </c>
      <c r="U34" s="44">
        <v>44332</v>
      </c>
      <c r="V34" s="44">
        <v>44653</v>
      </c>
      <c r="W34" s="44">
        <v>43486</v>
      </c>
      <c r="X34" s="44">
        <v>43674</v>
      </c>
      <c r="Y34" s="44">
        <v>43845</v>
      </c>
      <c r="Z34" s="44">
        <v>40771</v>
      </c>
      <c r="AA34" s="44">
        <v>40876</v>
      </c>
      <c r="AB34" s="44">
        <v>42288</v>
      </c>
      <c r="AC34" s="44">
        <v>41517</v>
      </c>
      <c r="AD34"/>
    </row>
    <row r="35" spans="1:30" x14ac:dyDescent="0.2">
      <c r="A35" s="45" t="s">
        <v>86</v>
      </c>
      <c r="B35" s="45" t="s">
        <v>397</v>
      </c>
      <c r="C35" s="45" t="s">
        <v>396</v>
      </c>
      <c r="D35" s="44">
        <v>29468</v>
      </c>
      <c r="E35" s="44">
        <v>31186</v>
      </c>
      <c r="F35" s="44">
        <v>31376</v>
      </c>
      <c r="G35" s="44">
        <v>33254</v>
      </c>
      <c r="H35" s="44">
        <v>33893</v>
      </c>
      <c r="I35" s="44">
        <v>35120</v>
      </c>
      <c r="J35" s="44">
        <v>35536</v>
      </c>
      <c r="K35" s="44">
        <v>35839</v>
      </c>
      <c r="L35" s="44">
        <v>38048</v>
      </c>
      <c r="M35" s="44">
        <v>39420</v>
      </c>
      <c r="N35" s="44">
        <v>38762</v>
      </c>
      <c r="O35" s="44">
        <v>38571</v>
      </c>
      <c r="P35" s="44">
        <v>38910</v>
      </c>
      <c r="Q35" s="44">
        <v>38029</v>
      </c>
      <c r="R35" s="44">
        <v>38846</v>
      </c>
      <c r="S35" s="44">
        <v>38504</v>
      </c>
      <c r="T35" s="44">
        <v>40182</v>
      </c>
      <c r="U35" s="44">
        <v>38428</v>
      </c>
      <c r="V35" s="44">
        <v>39502</v>
      </c>
      <c r="W35" s="44">
        <v>40781</v>
      </c>
      <c r="X35" s="44">
        <v>40779</v>
      </c>
      <c r="Y35" s="44">
        <v>40969</v>
      </c>
      <c r="Z35" s="44">
        <v>35968</v>
      </c>
      <c r="AA35" s="44">
        <v>39595</v>
      </c>
      <c r="AB35" s="44">
        <v>39841</v>
      </c>
      <c r="AC35" s="44">
        <v>39865</v>
      </c>
      <c r="AD35"/>
    </row>
    <row r="36" spans="1:30" x14ac:dyDescent="0.2">
      <c r="A36" s="49" t="s">
        <v>87</v>
      </c>
      <c r="B36" s="49" t="s">
        <v>395</v>
      </c>
      <c r="C36" s="49" t="s">
        <v>394</v>
      </c>
      <c r="D36" s="52">
        <v>20074</v>
      </c>
      <c r="E36" s="52">
        <v>21110</v>
      </c>
      <c r="F36" s="52">
        <v>21875</v>
      </c>
      <c r="G36" s="52">
        <v>22654</v>
      </c>
      <c r="H36" s="52">
        <v>23270</v>
      </c>
      <c r="I36" s="52">
        <v>24397</v>
      </c>
      <c r="J36" s="52">
        <v>24981</v>
      </c>
      <c r="K36" s="52">
        <v>25177</v>
      </c>
      <c r="L36" s="52">
        <v>26201</v>
      </c>
      <c r="M36" s="52">
        <v>25926</v>
      </c>
      <c r="N36" s="52">
        <v>26044</v>
      </c>
      <c r="O36" s="52">
        <v>25431</v>
      </c>
      <c r="P36" s="52">
        <v>26205</v>
      </c>
      <c r="Q36" s="52">
        <v>26054</v>
      </c>
      <c r="R36" s="52">
        <v>25580</v>
      </c>
      <c r="S36" s="52">
        <v>25988</v>
      </c>
      <c r="T36" s="52">
        <v>26823</v>
      </c>
      <c r="U36" s="52">
        <v>27221</v>
      </c>
      <c r="V36" s="52">
        <v>26931</v>
      </c>
      <c r="W36" s="52">
        <v>27621</v>
      </c>
      <c r="X36" s="52">
        <v>27662</v>
      </c>
      <c r="Y36" s="52">
        <v>28409</v>
      </c>
      <c r="Z36" s="52">
        <v>24880</v>
      </c>
      <c r="AA36" s="52">
        <v>28324</v>
      </c>
      <c r="AB36" s="52">
        <v>28998</v>
      </c>
      <c r="AC36" s="52">
        <v>28551</v>
      </c>
      <c r="AD36"/>
    </row>
    <row r="37" spans="1:30" x14ac:dyDescent="0.2">
      <c r="A37" s="45" t="s">
        <v>86</v>
      </c>
      <c r="B37" s="45" t="s">
        <v>393</v>
      </c>
      <c r="C37" s="45" t="s">
        <v>392</v>
      </c>
      <c r="D37" s="44">
        <v>19020</v>
      </c>
      <c r="E37" s="44">
        <v>20208</v>
      </c>
      <c r="F37" s="44">
        <v>21233</v>
      </c>
      <c r="G37" s="44">
        <v>22155</v>
      </c>
      <c r="H37" s="44">
        <v>22773</v>
      </c>
      <c r="I37" s="44">
        <v>23945</v>
      </c>
      <c r="J37" s="44">
        <v>24324</v>
      </c>
      <c r="K37" s="44">
        <v>24551</v>
      </c>
      <c r="L37" s="44">
        <v>25840</v>
      </c>
      <c r="M37" s="44">
        <v>25699</v>
      </c>
      <c r="N37" s="44">
        <v>26022</v>
      </c>
      <c r="O37" s="44">
        <v>25082</v>
      </c>
      <c r="P37" s="44">
        <v>26324</v>
      </c>
      <c r="Q37" s="44">
        <v>26401</v>
      </c>
      <c r="R37" s="44">
        <v>25904</v>
      </c>
      <c r="S37" s="44">
        <v>26724</v>
      </c>
      <c r="T37" s="44">
        <v>28014</v>
      </c>
      <c r="U37" s="44">
        <v>28747</v>
      </c>
      <c r="V37" s="44">
        <v>28551</v>
      </c>
      <c r="W37" s="44">
        <v>29318</v>
      </c>
      <c r="X37" s="44">
        <v>29426</v>
      </c>
      <c r="Y37" s="44">
        <v>29724</v>
      </c>
      <c r="Z37" s="44">
        <v>25762</v>
      </c>
      <c r="AA37" s="44">
        <v>29195</v>
      </c>
      <c r="AB37" s="44">
        <v>29016</v>
      </c>
      <c r="AC37" s="44">
        <v>28541</v>
      </c>
      <c r="AD37"/>
    </row>
    <row r="38" spans="1:30" x14ac:dyDescent="0.2">
      <c r="A38" s="45" t="s">
        <v>86</v>
      </c>
      <c r="B38" s="45" t="s">
        <v>391</v>
      </c>
      <c r="C38" s="45" t="s">
        <v>390</v>
      </c>
      <c r="D38" s="44">
        <v>26981</v>
      </c>
      <c r="E38" s="44">
        <v>28102</v>
      </c>
      <c r="F38" s="44">
        <v>29385</v>
      </c>
      <c r="G38" s="44">
        <v>30331</v>
      </c>
      <c r="H38" s="44">
        <v>30828</v>
      </c>
      <c r="I38" s="44">
        <v>32452</v>
      </c>
      <c r="J38" s="44">
        <v>33151</v>
      </c>
      <c r="K38" s="44">
        <v>33692</v>
      </c>
      <c r="L38" s="44">
        <v>34902</v>
      </c>
      <c r="M38" s="44">
        <v>34555</v>
      </c>
      <c r="N38" s="44">
        <v>34987</v>
      </c>
      <c r="O38" s="44">
        <v>34193</v>
      </c>
      <c r="P38" s="44">
        <v>34563</v>
      </c>
      <c r="Q38" s="44">
        <v>34058</v>
      </c>
      <c r="R38" s="44">
        <v>33035</v>
      </c>
      <c r="S38" s="44">
        <v>33074</v>
      </c>
      <c r="T38" s="44">
        <v>34100</v>
      </c>
      <c r="U38" s="44">
        <v>34093</v>
      </c>
      <c r="V38" s="44">
        <v>33480</v>
      </c>
      <c r="W38" s="44">
        <v>34182</v>
      </c>
      <c r="X38" s="44">
        <v>34085</v>
      </c>
      <c r="Y38" s="44">
        <v>35882</v>
      </c>
      <c r="Z38" s="44">
        <v>31338</v>
      </c>
      <c r="AA38" s="44">
        <v>36234</v>
      </c>
      <c r="AB38" s="44">
        <v>37803</v>
      </c>
      <c r="AC38" s="44">
        <v>37180</v>
      </c>
      <c r="AD38"/>
    </row>
    <row r="39" spans="1:30" x14ac:dyDescent="0.2">
      <c r="A39" s="45" t="s">
        <v>86</v>
      </c>
      <c r="B39" s="45" t="s">
        <v>389</v>
      </c>
      <c r="C39" s="45" t="s">
        <v>388</v>
      </c>
      <c r="D39" s="44">
        <v>16741</v>
      </c>
      <c r="E39" s="44">
        <v>17523</v>
      </c>
      <c r="F39" s="44">
        <v>17760</v>
      </c>
      <c r="G39" s="44">
        <v>18353</v>
      </c>
      <c r="H39" s="44">
        <v>19115</v>
      </c>
      <c r="I39" s="44">
        <v>19657</v>
      </c>
      <c r="J39" s="44">
        <v>20181</v>
      </c>
      <c r="K39" s="44">
        <v>20064</v>
      </c>
      <c r="L39" s="44">
        <v>20761</v>
      </c>
      <c r="M39" s="44">
        <v>20412</v>
      </c>
      <c r="N39" s="44">
        <v>20197</v>
      </c>
      <c r="O39" s="44">
        <v>19805</v>
      </c>
      <c r="P39" s="44">
        <v>20447</v>
      </c>
      <c r="Q39" s="44">
        <v>20046</v>
      </c>
      <c r="R39" s="44">
        <v>19645</v>
      </c>
      <c r="S39" s="44">
        <v>19856</v>
      </c>
      <c r="T39" s="44">
        <v>20068</v>
      </c>
      <c r="U39" s="44">
        <v>20198</v>
      </c>
      <c r="V39" s="44">
        <v>20593</v>
      </c>
      <c r="W39" s="44">
        <v>21083</v>
      </c>
      <c r="X39" s="44">
        <v>21063</v>
      </c>
      <c r="Y39" s="44">
        <v>20864</v>
      </c>
      <c r="Z39" s="44">
        <v>18519</v>
      </c>
      <c r="AA39" s="44">
        <v>21332</v>
      </c>
      <c r="AB39" s="44">
        <v>21346</v>
      </c>
      <c r="AC39" s="44">
        <v>20728</v>
      </c>
      <c r="AD39"/>
    </row>
    <row r="40" spans="1:30" x14ac:dyDescent="0.2">
      <c r="A40" s="45" t="s">
        <v>86</v>
      </c>
      <c r="B40" s="45" t="s">
        <v>387</v>
      </c>
      <c r="C40" s="45" t="s">
        <v>386</v>
      </c>
      <c r="D40" s="44">
        <v>16793</v>
      </c>
      <c r="E40" s="44">
        <v>17803</v>
      </c>
      <c r="F40" s="44">
        <v>18038</v>
      </c>
      <c r="G40" s="44">
        <v>18562</v>
      </c>
      <c r="H40" s="44">
        <v>19164</v>
      </c>
      <c r="I40" s="44">
        <v>19909</v>
      </c>
      <c r="J40" s="44">
        <v>20732</v>
      </c>
      <c r="K40" s="44">
        <v>20283</v>
      </c>
      <c r="L40" s="44">
        <v>20976</v>
      </c>
      <c r="M40" s="44">
        <v>20402</v>
      </c>
      <c r="N40" s="44">
        <v>19969</v>
      </c>
      <c r="O40" s="44">
        <v>19599</v>
      </c>
      <c r="P40" s="44">
        <v>19968</v>
      </c>
      <c r="Q40" s="44">
        <v>19862</v>
      </c>
      <c r="R40" s="44">
        <v>19812</v>
      </c>
      <c r="S40" s="44">
        <v>20032</v>
      </c>
      <c r="T40" s="44">
        <v>20516</v>
      </c>
      <c r="U40" s="44">
        <v>21171</v>
      </c>
      <c r="V40" s="44">
        <v>20757</v>
      </c>
      <c r="W40" s="44">
        <v>21300</v>
      </c>
      <c r="X40" s="44">
        <v>21377</v>
      </c>
      <c r="Y40" s="44">
        <v>21901</v>
      </c>
      <c r="Z40" s="44">
        <v>19498</v>
      </c>
      <c r="AA40" s="44">
        <v>21298</v>
      </c>
      <c r="AB40" s="44">
        <v>22098</v>
      </c>
      <c r="AC40" s="44">
        <v>22066</v>
      </c>
      <c r="AD40"/>
    </row>
    <row r="41" spans="1:30" x14ac:dyDescent="0.2">
      <c r="A41" s="51" t="s">
        <v>88</v>
      </c>
      <c r="B41" s="51" t="s">
        <v>385</v>
      </c>
      <c r="C41" s="51" t="s">
        <v>384</v>
      </c>
      <c r="D41" s="57">
        <v>22857</v>
      </c>
      <c r="E41" s="57">
        <v>23639</v>
      </c>
      <c r="F41" s="57">
        <v>24359</v>
      </c>
      <c r="G41" s="57">
        <v>25075</v>
      </c>
      <c r="H41" s="57">
        <v>25671</v>
      </c>
      <c r="I41" s="57">
        <v>26582</v>
      </c>
      <c r="J41" s="57">
        <v>27225</v>
      </c>
      <c r="K41" s="57">
        <v>27403</v>
      </c>
      <c r="L41" s="57">
        <v>27879</v>
      </c>
      <c r="M41" s="57">
        <v>28522</v>
      </c>
      <c r="N41" s="57">
        <v>27509</v>
      </c>
      <c r="O41" s="57">
        <v>25908</v>
      </c>
      <c r="P41" s="57">
        <v>26134</v>
      </c>
      <c r="Q41" s="57">
        <v>26593</v>
      </c>
      <c r="R41" s="57">
        <v>26852</v>
      </c>
      <c r="S41" s="57">
        <v>27036</v>
      </c>
      <c r="T41" s="57">
        <v>27489</v>
      </c>
      <c r="U41" s="57">
        <v>28233</v>
      </c>
      <c r="V41" s="57">
        <v>28451</v>
      </c>
      <c r="W41" s="57">
        <v>29149</v>
      </c>
      <c r="X41" s="57">
        <v>29457</v>
      </c>
      <c r="Y41" s="57">
        <v>29612</v>
      </c>
      <c r="Z41" s="57">
        <v>26464</v>
      </c>
      <c r="AA41" s="57">
        <v>29848</v>
      </c>
      <c r="AB41" s="57">
        <v>30631</v>
      </c>
      <c r="AC41" s="57">
        <v>30050</v>
      </c>
      <c r="AD41"/>
    </row>
    <row r="42" spans="1:30" x14ac:dyDescent="0.2">
      <c r="A42" s="49" t="s">
        <v>87</v>
      </c>
      <c r="B42" s="49" t="s">
        <v>383</v>
      </c>
      <c r="C42" s="49" t="s">
        <v>382</v>
      </c>
      <c r="D42" s="52">
        <v>22688</v>
      </c>
      <c r="E42" s="52">
        <v>23106</v>
      </c>
      <c r="F42" s="52">
        <v>24192</v>
      </c>
      <c r="G42" s="52">
        <v>24856</v>
      </c>
      <c r="H42" s="52">
        <v>25683</v>
      </c>
      <c r="I42" s="52">
        <v>26593</v>
      </c>
      <c r="J42" s="52">
        <v>27075</v>
      </c>
      <c r="K42" s="52">
        <v>26897</v>
      </c>
      <c r="L42" s="52">
        <v>28111</v>
      </c>
      <c r="M42" s="52">
        <v>27941</v>
      </c>
      <c r="N42" s="52">
        <v>27600</v>
      </c>
      <c r="O42" s="52">
        <v>26098</v>
      </c>
      <c r="P42" s="52">
        <v>25496</v>
      </c>
      <c r="Q42" s="52">
        <v>24928</v>
      </c>
      <c r="R42" s="52">
        <v>25107</v>
      </c>
      <c r="S42" s="52">
        <v>25498</v>
      </c>
      <c r="T42" s="52">
        <v>26160</v>
      </c>
      <c r="U42" s="52">
        <v>27516</v>
      </c>
      <c r="V42" s="52">
        <v>27871</v>
      </c>
      <c r="W42" s="52">
        <v>28273</v>
      </c>
      <c r="X42" s="52">
        <v>28697</v>
      </c>
      <c r="Y42" s="52">
        <v>29122</v>
      </c>
      <c r="Z42" s="52">
        <v>25890</v>
      </c>
      <c r="AA42" s="52">
        <v>30943</v>
      </c>
      <c r="AB42" s="52">
        <v>30086</v>
      </c>
      <c r="AC42" s="52">
        <v>29200</v>
      </c>
      <c r="AD42"/>
    </row>
    <row r="43" spans="1:30" x14ac:dyDescent="0.2">
      <c r="A43" s="45" t="s">
        <v>86</v>
      </c>
      <c r="B43" s="45" t="s">
        <v>381</v>
      </c>
      <c r="C43" s="45" t="s">
        <v>380</v>
      </c>
      <c r="D43" s="44">
        <v>22032</v>
      </c>
      <c r="E43" s="44">
        <v>23063</v>
      </c>
      <c r="F43" s="44">
        <v>24378</v>
      </c>
      <c r="G43" s="44">
        <v>25620</v>
      </c>
      <c r="H43" s="44">
        <v>26481</v>
      </c>
      <c r="I43" s="44">
        <v>27642</v>
      </c>
      <c r="J43" s="44">
        <v>27864</v>
      </c>
      <c r="K43" s="44">
        <v>27906</v>
      </c>
      <c r="L43" s="44">
        <v>29784</v>
      </c>
      <c r="M43" s="44">
        <v>30078</v>
      </c>
      <c r="N43" s="44">
        <v>31315</v>
      </c>
      <c r="O43" s="44">
        <v>29243</v>
      </c>
      <c r="P43" s="44">
        <v>28222</v>
      </c>
      <c r="Q43" s="44">
        <v>27283</v>
      </c>
      <c r="R43" s="44">
        <v>27268</v>
      </c>
      <c r="S43" s="44">
        <v>27098</v>
      </c>
      <c r="T43" s="44">
        <v>26897</v>
      </c>
      <c r="U43" s="44">
        <v>27750</v>
      </c>
      <c r="V43" s="44">
        <v>27723</v>
      </c>
      <c r="W43" s="44">
        <v>28121</v>
      </c>
      <c r="X43" s="44">
        <v>28560</v>
      </c>
      <c r="Y43" s="44">
        <v>28362</v>
      </c>
      <c r="Z43" s="44">
        <v>24000</v>
      </c>
      <c r="AA43" s="44">
        <v>28690</v>
      </c>
      <c r="AB43" s="44">
        <v>28363</v>
      </c>
      <c r="AC43" s="44">
        <v>28099</v>
      </c>
      <c r="AD43"/>
    </row>
    <row r="44" spans="1:30" x14ac:dyDescent="0.2">
      <c r="A44" s="45" t="s">
        <v>86</v>
      </c>
      <c r="B44" s="45" t="s">
        <v>379</v>
      </c>
      <c r="C44" s="45" t="s">
        <v>378</v>
      </c>
      <c r="D44" s="44">
        <v>22286</v>
      </c>
      <c r="E44" s="44">
        <v>22500</v>
      </c>
      <c r="F44" s="44">
        <v>23179</v>
      </c>
      <c r="G44" s="44">
        <v>23992</v>
      </c>
      <c r="H44" s="44">
        <v>24985</v>
      </c>
      <c r="I44" s="44">
        <v>25757</v>
      </c>
      <c r="J44" s="44">
        <v>26701</v>
      </c>
      <c r="K44" s="44">
        <v>26790</v>
      </c>
      <c r="L44" s="44">
        <v>27423</v>
      </c>
      <c r="M44" s="44">
        <v>26507</v>
      </c>
      <c r="N44" s="44">
        <v>25526</v>
      </c>
      <c r="O44" s="44">
        <v>23593</v>
      </c>
      <c r="P44" s="44">
        <v>23146</v>
      </c>
      <c r="Q44" s="44">
        <v>23153</v>
      </c>
      <c r="R44" s="44">
        <v>23319</v>
      </c>
      <c r="S44" s="44">
        <v>23703</v>
      </c>
      <c r="T44" s="44">
        <v>24628</v>
      </c>
      <c r="U44" s="44">
        <v>25479</v>
      </c>
      <c r="V44" s="44">
        <v>25441</v>
      </c>
      <c r="W44" s="44">
        <v>25992</v>
      </c>
      <c r="X44" s="44">
        <v>26929</v>
      </c>
      <c r="Y44" s="44">
        <v>27518</v>
      </c>
      <c r="Z44" s="44">
        <v>24971</v>
      </c>
      <c r="AA44" s="44">
        <v>28648</v>
      </c>
      <c r="AB44" s="44">
        <v>28354</v>
      </c>
      <c r="AC44" s="44">
        <v>27777</v>
      </c>
      <c r="AD44"/>
    </row>
    <row r="45" spans="1:30" x14ac:dyDescent="0.2">
      <c r="A45" s="45" t="s">
        <v>86</v>
      </c>
      <c r="B45" s="45" t="s">
        <v>377</v>
      </c>
      <c r="C45" s="45" t="s">
        <v>376</v>
      </c>
      <c r="D45" s="44">
        <v>24644</v>
      </c>
      <c r="E45" s="44">
        <v>24783</v>
      </c>
      <c r="F45" s="44">
        <v>26096</v>
      </c>
      <c r="G45" s="44">
        <v>26214</v>
      </c>
      <c r="H45" s="44">
        <v>26794</v>
      </c>
      <c r="I45" s="44">
        <v>27613</v>
      </c>
      <c r="J45" s="44">
        <v>28294</v>
      </c>
      <c r="K45" s="44">
        <v>28208</v>
      </c>
      <c r="L45" s="44">
        <v>28939</v>
      </c>
      <c r="M45" s="44">
        <v>29221</v>
      </c>
      <c r="N45" s="44">
        <v>28458</v>
      </c>
      <c r="O45" s="44">
        <v>27134</v>
      </c>
      <c r="P45" s="44">
        <v>26846</v>
      </c>
      <c r="Q45" s="44">
        <v>25710</v>
      </c>
      <c r="R45" s="44">
        <v>26030</v>
      </c>
      <c r="S45" s="44">
        <v>26327</v>
      </c>
      <c r="T45" s="44">
        <v>27471</v>
      </c>
      <c r="U45" s="44">
        <v>29367</v>
      </c>
      <c r="V45" s="44">
        <v>30296</v>
      </c>
      <c r="W45" s="44">
        <v>30667</v>
      </c>
      <c r="X45" s="44">
        <v>30713</v>
      </c>
      <c r="Y45" s="44">
        <v>31086</v>
      </c>
      <c r="Z45" s="44">
        <v>28093</v>
      </c>
      <c r="AA45" s="44">
        <v>35258</v>
      </c>
      <c r="AB45" s="44">
        <v>33328</v>
      </c>
      <c r="AC45" s="44">
        <v>31597</v>
      </c>
      <c r="AD45"/>
    </row>
    <row r="46" spans="1:30" x14ac:dyDescent="0.2">
      <c r="A46" s="49" t="s">
        <v>87</v>
      </c>
      <c r="B46" s="49" t="s">
        <v>375</v>
      </c>
      <c r="C46" s="49" t="s">
        <v>371</v>
      </c>
      <c r="D46" s="52">
        <v>27731</v>
      </c>
      <c r="E46" s="52">
        <v>28377</v>
      </c>
      <c r="F46" s="52">
        <v>29060</v>
      </c>
      <c r="G46" s="52">
        <v>29835</v>
      </c>
      <c r="H46" s="52">
        <v>31231</v>
      </c>
      <c r="I46" s="52">
        <v>32056</v>
      </c>
      <c r="J46" s="52">
        <v>32615</v>
      </c>
      <c r="K46" s="52">
        <v>32559</v>
      </c>
      <c r="L46" s="52">
        <v>32430</v>
      </c>
      <c r="M46" s="52">
        <v>32875</v>
      </c>
      <c r="N46" s="52">
        <v>31894</v>
      </c>
      <c r="O46" s="52">
        <v>29790</v>
      </c>
      <c r="P46" s="52">
        <v>30104</v>
      </c>
      <c r="Q46" s="52">
        <v>31297</v>
      </c>
      <c r="R46" s="52">
        <v>31117</v>
      </c>
      <c r="S46" s="52">
        <v>31317</v>
      </c>
      <c r="T46" s="52">
        <v>31768</v>
      </c>
      <c r="U46" s="52">
        <v>31615</v>
      </c>
      <c r="V46" s="52">
        <v>32480</v>
      </c>
      <c r="W46" s="52">
        <v>33685</v>
      </c>
      <c r="X46" s="52">
        <v>33334</v>
      </c>
      <c r="Y46" s="52">
        <v>33518</v>
      </c>
      <c r="Z46" s="52">
        <v>29958</v>
      </c>
      <c r="AA46" s="52">
        <v>33884</v>
      </c>
      <c r="AB46" s="52">
        <v>35044</v>
      </c>
      <c r="AC46" s="52">
        <v>34828</v>
      </c>
      <c r="AD46"/>
    </row>
    <row r="47" spans="1:30" x14ac:dyDescent="0.2">
      <c r="A47" s="45" t="s">
        <v>86</v>
      </c>
      <c r="B47" s="45" t="s">
        <v>374</v>
      </c>
      <c r="C47" s="45" t="s">
        <v>373</v>
      </c>
      <c r="D47" s="44">
        <v>34969</v>
      </c>
      <c r="E47" s="44">
        <v>35907</v>
      </c>
      <c r="F47" s="44">
        <v>36849</v>
      </c>
      <c r="G47" s="44">
        <v>37180</v>
      </c>
      <c r="H47" s="44">
        <v>38646</v>
      </c>
      <c r="I47" s="44">
        <v>39681</v>
      </c>
      <c r="J47" s="44">
        <v>41058</v>
      </c>
      <c r="K47" s="44">
        <v>40525</v>
      </c>
      <c r="L47" s="44">
        <v>39389</v>
      </c>
      <c r="M47" s="44">
        <v>40409</v>
      </c>
      <c r="N47" s="44">
        <v>38909</v>
      </c>
      <c r="O47" s="44">
        <v>35961</v>
      </c>
      <c r="P47" s="44">
        <v>36443</v>
      </c>
      <c r="Q47" s="44">
        <v>36947</v>
      </c>
      <c r="R47" s="44">
        <v>36876</v>
      </c>
      <c r="S47" s="44">
        <v>36110</v>
      </c>
      <c r="T47" s="44">
        <v>36516</v>
      </c>
      <c r="U47" s="44">
        <v>36307</v>
      </c>
      <c r="V47" s="44">
        <v>37571</v>
      </c>
      <c r="W47" s="44">
        <v>39120</v>
      </c>
      <c r="X47" s="44">
        <v>39319</v>
      </c>
      <c r="Y47" s="44">
        <v>38557</v>
      </c>
      <c r="Z47" s="44">
        <v>33382</v>
      </c>
      <c r="AA47" s="44">
        <v>38688</v>
      </c>
      <c r="AB47" s="44">
        <v>41466</v>
      </c>
      <c r="AC47" s="44">
        <v>41103</v>
      </c>
      <c r="AD47"/>
    </row>
    <row r="48" spans="1:30" x14ac:dyDescent="0.2">
      <c r="A48" s="45" t="s">
        <v>86</v>
      </c>
      <c r="B48" s="45" t="s">
        <v>372</v>
      </c>
      <c r="C48" s="45" t="s">
        <v>371</v>
      </c>
      <c r="D48" s="44">
        <v>24333</v>
      </c>
      <c r="E48" s="44">
        <v>24971</v>
      </c>
      <c r="F48" s="44">
        <v>25508</v>
      </c>
      <c r="G48" s="44">
        <v>26435</v>
      </c>
      <c r="H48" s="44">
        <v>27698</v>
      </c>
      <c r="I48" s="44">
        <v>28396</v>
      </c>
      <c r="J48" s="44">
        <v>28699</v>
      </c>
      <c r="K48" s="44">
        <v>28588</v>
      </c>
      <c r="L48" s="44">
        <v>28918</v>
      </c>
      <c r="M48" s="44">
        <v>29041</v>
      </c>
      <c r="N48" s="44">
        <v>28076</v>
      </c>
      <c r="O48" s="44">
        <v>26350</v>
      </c>
      <c r="P48" s="44">
        <v>26446</v>
      </c>
      <c r="Q48" s="44">
        <v>27543</v>
      </c>
      <c r="R48" s="44">
        <v>28120</v>
      </c>
      <c r="S48" s="44">
        <v>28779</v>
      </c>
      <c r="T48" s="44">
        <v>29118</v>
      </c>
      <c r="U48" s="44">
        <v>29403</v>
      </c>
      <c r="V48" s="44">
        <v>30192</v>
      </c>
      <c r="W48" s="44">
        <v>31690</v>
      </c>
      <c r="X48" s="44">
        <v>31260</v>
      </c>
      <c r="Y48" s="44">
        <v>31744</v>
      </c>
      <c r="Z48" s="44">
        <v>28768</v>
      </c>
      <c r="AA48" s="44">
        <v>32324</v>
      </c>
      <c r="AB48" s="44">
        <v>32943</v>
      </c>
      <c r="AC48" s="44">
        <v>32808</v>
      </c>
      <c r="AD48"/>
    </row>
    <row r="49" spans="1:30" x14ac:dyDescent="0.2">
      <c r="A49" s="49" t="s">
        <v>87</v>
      </c>
      <c r="B49" s="49" t="s">
        <v>370</v>
      </c>
      <c r="C49" s="49" t="s">
        <v>369</v>
      </c>
      <c r="D49" s="52">
        <v>20212</v>
      </c>
      <c r="E49" s="52">
        <v>20509</v>
      </c>
      <c r="F49" s="52">
        <v>21228</v>
      </c>
      <c r="G49" s="52">
        <v>22176</v>
      </c>
      <c r="H49" s="52">
        <v>22657</v>
      </c>
      <c r="I49" s="52">
        <v>23364</v>
      </c>
      <c r="J49" s="52">
        <v>23981</v>
      </c>
      <c r="K49" s="52">
        <v>23838</v>
      </c>
      <c r="L49" s="52">
        <v>24374</v>
      </c>
      <c r="M49" s="52">
        <v>25055</v>
      </c>
      <c r="N49" s="52">
        <v>23658</v>
      </c>
      <c r="O49" s="52">
        <v>22227</v>
      </c>
      <c r="P49" s="52">
        <v>22766</v>
      </c>
      <c r="Q49" s="52">
        <v>23278</v>
      </c>
      <c r="R49" s="52">
        <v>23718</v>
      </c>
      <c r="S49" s="52">
        <v>23849</v>
      </c>
      <c r="T49" s="52">
        <v>24389</v>
      </c>
      <c r="U49" s="52">
        <v>25031</v>
      </c>
      <c r="V49" s="52">
        <v>25020</v>
      </c>
      <c r="W49" s="52">
        <v>25687</v>
      </c>
      <c r="X49" s="52">
        <v>25435</v>
      </c>
      <c r="Y49" s="52">
        <v>25885</v>
      </c>
      <c r="Z49" s="52">
        <v>23570</v>
      </c>
      <c r="AA49" s="52">
        <v>25821</v>
      </c>
      <c r="AB49" s="52">
        <v>26634</v>
      </c>
      <c r="AC49" s="52">
        <v>25957</v>
      </c>
      <c r="AD49"/>
    </row>
    <row r="50" spans="1:30" x14ac:dyDescent="0.2">
      <c r="A50" s="45" t="s">
        <v>86</v>
      </c>
      <c r="B50" s="45" t="s">
        <v>368</v>
      </c>
      <c r="C50" s="45" t="s">
        <v>367</v>
      </c>
      <c r="D50" s="44">
        <v>22418</v>
      </c>
      <c r="E50" s="44">
        <v>22686</v>
      </c>
      <c r="F50" s="44">
        <v>23785</v>
      </c>
      <c r="G50" s="44">
        <v>25241</v>
      </c>
      <c r="H50" s="44">
        <v>26047</v>
      </c>
      <c r="I50" s="44">
        <v>27009</v>
      </c>
      <c r="J50" s="44">
        <v>27617</v>
      </c>
      <c r="K50" s="44">
        <v>27525</v>
      </c>
      <c r="L50" s="44">
        <v>27979</v>
      </c>
      <c r="M50" s="44">
        <v>28978</v>
      </c>
      <c r="N50" s="44">
        <v>27269</v>
      </c>
      <c r="O50" s="44">
        <v>25902</v>
      </c>
      <c r="P50" s="44">
        <v>26028</v>
      </c>
      <c r="Q50" s="44">
        <v>26482</v>
      </c>
      <c r="R50" s="44">
        <v>26770</v>
      </c>
      <c r="S50" s="44">
        <v>26857</v>
      </c>
      <c r="T50" s="44">
        <v>27298</v>
      </c>
      <c r="U50" s="44">
        <v>27911</v>
      </c>
      <c r="V50" s="44">
        <v>27937</v>
      </c>
      <c r="W50" s="44">
        <v>28106</v>
      </c>
      <c r="X50" s="44">
        <v>27885</v>
      </c>
      <c r="Y50" s="44">
        <v>29413</v>
      </c>
      <c r="Z50" s="44">
        <v>27144</v>
      </c>
      <c r="AA50" s="44">
        <v>29993</v>
      </c>
      <c r="AB50" s="44">
        <v>30987</v>
      </c>
      <c r="AC50" s="44">
        <v>30641</v>
      </c>
      <c r="AD50"/>
    </row>
    <row r="51" spans="1:30" x14ac:dyDescent="0.2">
      <c r="A51" s="45" t="s">
        <v>86</v>
      </c>
      <c r="B51" s="45" t="s">
        <v>366</v>
      </c>
      <c r="C51" s="45" t="s">
        <v>365</v>
      </c>
      <c r="D51" s="44">
        <v>18115</v>
      </c>
      <c r="E51" s="44">
        <v>18143</v>
      </c>
      <c r="F51" s="44">
        <v>18679</v>
      </c>
      <c r="G51" s="44">
        <v>19142</v>
      </c>
      <c r="H51" s="44">
        <v>19314</v>
      </c>
      <c r="I51" s="44">
        <v>19879</v>
      </c>
      <c r="J51" s="44">
        <v>20782</v>
      </c>
      <c r="K51" s="44">
        <v>20517</v>
      </c>
      <c r="L51" s="44">
        <v>21006</v>
      </c>
      <c r="M51" s="44">
        <v>21406</v>
      </c>
      <c r="N51" s="44">
        <v>20014</v>
      </c>
      <c r="O51" s="44">
        <v>18601</v>
      </c>
      <c r="P51" s="44">
        <v>19073</v>
      </c>
      <c r="Q51" s="44">
        <v>19623</v>
      </c>
      <c r="R51" s="44">
        <v>19902</v>
      </c>
      <c r="S51" s="44">
        <v>20145</v>
      </c>
      <c r="T51" s="44">
        <v>20676</v>
      </c>
      <c r="U51" s="44">
        <v>20599</v>
      </c>
      <c r="V51" s="44">
        <v>20599</v>
      </c>
      <c r="W51" s="44">
        <v>21097</v>
      </c>
      <c r="X51" s="44">
        <v>21489</v>
      </c>
      <c r="Y51" s="44">
        <v>21790</v>
      </c>
      <c r="Z51" s="44">
        <v>19570</v>
      </c>
      <c r="AA51" s="44">
        <v>21489</v>
      </c>
      <c r="AB51" s="44">
        <v>22281</v>
      </c>
      <c r="AC51" s="44">
        <v>21623</v>
      </c>
      <c r="AD51"/>
    </row>
    <row r="52" spans="1:30" x14ac:dyDescent="0.2">
      <c r="A52" s="45" t="s">
        <v>86</v>
      </c>
      <c r="B52" s="45" t="s">
        <v>364</v>
      </c>
      <c r="C52" s="45" t="s">
        <v>363</v>
      </c>
      <c r="D52" s="44">
        <v>15310</v>
      </c>
      <c r="E52" s="44">
        <v>15541</v>
      </c>
      <c r="F52" s="44">
        <v>15906</v>
      </c>
      <c r="G52" s="44">
        <v>16396</v>
      </c>
      <c r="H52" s="44">
        <v>16545</v>
      </c>
      <c r="I52" s="44">
        <v>17001</v>
      </c>
      <c r="J52" s="44">
        <v>17309</v>
      </c>
      <c r="K52" s="44">
        <v>17171</v>
      </c>
      <c r="L52" s="44">
        <v>17393</v>
      </c>
      <c r="M52" s="44">
        <v>17756</v>
      </c>
      <c r="N52" s="44">
        <v>16895</v>
      </c>
      <c r="O52" s="44">
        <v>15578</v>
      </c>
      <c r="P52" s="44">
        <v>16185</v>
      </c>
      <c r="Q52" s="44">
        <v>16701</v>
      </c>
      <c r="R52" s="44">
        <v>17397</v>
      </c>
      <c r="S52" s="44">
        <v>17107</v>
      </c>
      <c r="T52" s="44">
        <v>17418</v>
      </c>
      <c r="U52" s="44">
        <v>18011</v>
      </c>
      <c r="V52" s="44">
        <v>17999</v>
      </c>
      <c r="W52" s="44">
        <v>18416</v>
      </c>
      <c r="X52" s="44">
        <v>23799</v>
      </c>
      <c r="Y52" s="44">
        <v>23790</v>
      </c>
      <c r="Z52" s="44">
        <v>21525</v>
      </c>
      <c r="AA52" s="44">
        <v>23261</v>
      </c>
      <c r="AB52" s="44">
        <v>23220</v>
      </c>
      <c r="AC52" s="44">
        <v>21984</v>
      </c>
      <c r="AD52"/>
    </row>
    <row r="53" spans="1:30" x14ac:dyDescent="0.2">
      <c r="A53" s="45" t="s">
        <v>86</v>
      </c>
      <c r="B53" s="45" t="s">
        <v>362</v>
      </c>
      <c r="C53" s="45" t="s">
        <v>361</v>
      </c>
      <c r="D53" s="44">
        <v>15245</v>
      </c>
      <c r="E53" s="44">
        <v>15427</v>
      </c>
      <c r="F53" s="44">
        <v>15786</v>
      </c>
      <c r="G53" s="44">
        <v>16136</v>
      </c>
      <c r="H53" s="44">
        <v>16294</v>
      </c>
      <c r="I53" s="44">
        <v>16721</v>
      </c>
      <c r="J53" s="44">
        <v>17485</v>
      </c>
      <c r="K53" s="44">
        <v>17271</v>
      </c>
      <c r="L53" s="44">
        <v>17870</v>
      </c>
      <c r="M53" s="44">
        <v>18140</v>
      </c>
      <c r="N53" s="44">
        <v>17228</v>
      </c>
      <c r="O53" s="44">
        <v>15832</v>
      </c>
      <c r="P53" s="44">
        <v>16429</v>
      </c>
      <c r="Q53" s="44">
        <v>16612</v>
      </c>
      <c r="R53" s="44">
        <v>16831</v>
      </c>
      <c r="S53" s="44">
        <v>17064</v>
      </c>
      <c r="T53" s="44">
        <v>17849</v>
      </c>
      <c r="U53" s="44">
        <v>18723</v>
      </c>
      <c r="V53" s="44">
        <v>18788</v>
      </c>
      <c r="W53" s="44">
        <v>24991</v>
      </c>
      <c r="X53" s="44">
        <v>24515</v>
      </c>
      <c r="Y53" s="44">
        <v>24721</v>
      </c>
      <c r="Z53" s="44">
        <v>22150</v>
      </c>
      <c r="AA53" s="44">
        <v>23996</v>
      </c>
      <c r="AB53" s="44">
        <v>25121</v>
      </c>
      <c r="AC53" s="44">
        <v>24318</v>
      </c>
      <c r="AD53"/>
    </row>
    <row r="54" spans="1:30" x14ac:dyDescent="0.2">
      <c r="A54" s="49" t="s">
        <v>87</v>
      </c>
      <c r="B54" s="49" t="s">
        <v>360</v>
      </c>
      <c r="C54" s="49" t="s">
        <v>359</v>
      </c>
      <c r="D54" s="52">
        <v>22898</v>
      </c>
      <c r="E54" s="52">
        <v>24131</v>
      </c>
      <c r="F54" s="52">
        <v>24706</v>
      </c>
      <c r="G54" s="52">
        <v>25274</v>
      </c>
      <c r="H54" s="52">
        <v>25583</v>
      </c>
      <c r="I54" s="52">
        <v>26637</v>
      </c>
      <c r="J54" s="52">
        <v>27379</v>
      </c>
      <c r="K54" s="52">
        <v>27956</v>
      </c>
      <c r="L54" s="52">
        <v>28302</v>
      </c>
      <c r="M54" s="52">
        <v>29296</v>
      </c>
      <c r="N54" s="52">
        <v>28226</v>
      </c>
      <c r="O54" s="52">
        <v>26662</v>
      </c>
      <c r="P54" s="52">
        <v>27005</v>
      </c>
      <c r="Q54" s="52">
        <v>27604</v>
      </c>
      <c r="R54" s="52">
        <v>27932</v>
      </c>
      <c r="S54" s="52">
        <v>28052</v>
      </c>
      <c r="T54" s="52">
        <v>28370</v>
      </c>
      <c r="U54" s="52">
        <v>29231</v>
      </c>
      <c r="V54" s="52">
        <v>29306</v>
      </c>
      <c r="W54" s="52">
        <v>29960</v>
      </c>
      <c r="X54" s="52">
        <v>30776</v>
      </c>
      <c r="Y54" s="52">
        <v>30630</v>
      </c>
      <c r="Z54" s="52">
        <v>27172</v>
      </c>
      <c r="AA54" s="52">
        <v>30372</v>
      </c>
      <c r="AB54" s="52">
        <v>31648</v>
      </c>
      <c r="AC54" s="52">
        <v>31126</v>
      </c>
      <c r="AD54"/>
    </row>
    <row r="55" spans="1:30" x14ac:dyDescent="0.2">
      <c r="A55" s="45" t="s">
        <v>86</v>
      </c>
      <c r="B55" s="45" t="s">
        <v>358</v>
      </c>
      <c r="C55" s="45" t="s">
        <v>357</v>
      </c>
      <c r="D55" s="44">
        <v>19846</v>
      </c>
      <c r="E55" s="44">
        <v>20843</v>
      </c>
      <c r="F55" s="44">
        <v>21117</v>
      </c>
      <c r="G55" s="44">
        <v>21610</v>
      </c>
      <c r="H55" s="44">
        <v>21718</v>
      </c>
      <c r="I55" s="44">
        <v>22224</v>
      </c>
      <c r="J55" s="44">
        <v>22863</v>
      </c>
      <c r="K55" s="44">
        <v>22922</v>
      </c>
      <c r="L55" s="44">
        <v>23286</v>
      </c>
      <c r="M55" s="44">
        <v>23398</v>
      </c>
      <c r="N55" s="44">
        <v>22897</v>
      </c>
      <c r="O55" s="44">
        <v>21666</v>
      </c>
      <c r="P55" s="44">
        <v>21444</v>
      </c>
      <c r="Q55" s="44">
        <v>21927</v>
      </c>
      <c r="R55" s="44">
        <v>22020</v>
      </c>
      <c r="S55" s="44">
        <v>21961</v>
      </c>
      <c r="T55" s="44">
        <v>21782</v>
      </c>
      <c r="U55" s="44">
        <v>22172</v>
      </c>
      <c r="V55" s="44">
        <v>22282</v>
      </c>
      <c r="W55" s="44">
        <v>22964</v>
      </c>
      <c r="X55" s="44">
        <v>22812</v>
      </c>
      <c r="Y55" s="44">
        <v>22928</v>
      </c>
      <c r="Z55" s="44">
        <v>20709</v>
      </c>
      <c r="AA55" s="44">
        <v>22916</v>
      </c>
      <c r="AB55" s="44">
        <v>23166</v>
      </c>
      <c r="AC55" s="44">
        <v>22027</v>
      </c>
      <c r="AD55"/>
    </row>
    <row r="56" spans="1:30" x14ac:dyDescent="0.2">
      <c r="A56" s="45" t="s">
        <v>86</v>
      </c>
      <c r="B56" s="45" t="s">
        <v>356</v>
      </c>
      <c r="C56" s="45" t="s">
        <v>355</v>
      </c>
      <c r="D56" s="44">
        <v>28204</v>
      </c>
      <c r="E56" s="44">
        <v>30051</v>
      </c>
      <c r="F56" s="44">
        <v>31284</v>
      </c>
      <c r="G56" s="44">
        <v>32032</v>
      </c>
      <c r="H56" s="44">
        <v>32765</v>
      </c>
      <c r="I56" s="44">
        <v>34648</v>
      </c>
      <c r="J56" s="44">
        <v>35891</v>
      </c>
      <c r="K56" s="44">
        <v>36818</v>
      </c>
      <c r="L56" s="44">
        <v>37355</v>
      </c>
      <c r="M56" s="44">
        <v>39797</v>
      </c>
      <c r="N56" s="44">
        <v>38285</v>
      </c>
      <c r="O56" s="44">
        <v>35952</v>
      </c>
      <c r="P56" s="44">
        <v>36784</v>
      </c>
      <c r="Q56" s="44">
        <v>37467</v>
      </c>
      <c r="R56" s="44">
        <v>37806</v>
      </c>
      <c r="S56" s="44">
        <v>37830</v>
      </c>
      <c r="T56" s="44">
        <v>38040</v>
      </c>
      <c r="U56" s="44">
        <v>38778</v>
      </c>
      <c r="V56" s="44">
        <v>38618</v>
      </c>
      <c r="W56" s="44">
        <v>38999</v>
      </c>
      <c r="X56" s="44">
        <v>40531</v>
      </c>
      <c r="Y56" s="44">
        <v>40662</v>
      </c>
      <c r="Z56" s="44">
        <v>35670</v>
      </c>
      <c r="AA56" s="44">
        <v>40040</v>
      </c>
      <c r="AB56" s="44">
        <v>43702</v>
      </c>
      <c r="AC56" s="44">
        <v>43821</v>
      </c>
      <c r="AD56"/>
    </row>
    <row r="57" spans="1:30" x14ac:dyDescent="0.2">
      <c r="A57" s="45" t="s">
        <v>86</v>
      </c>
      <c r="B57" s="45" t="s">
        <v>354</v>
      </c>
      <c r="C57" s="45" t="s">
        <v>353</v>
      </c>
      <c r="D57" s="44">
        <v>19486</v>
      </c>
      <c r="E57" s="44">
        <v>20308</v>
      </c>
      <c r="F57" s="44">
        <v>20488</v>
      </c>
      <c r="G57" s="44">
        <v>20819</v>
      </c>
      <c r="H57" s="44">
        <v>20707</v>
      </c>
      <c r="I57" s="44">
        <v>21311</v>
      </c>
      <c r="J57" s="44">
        <v>21833</v>
      </c>
      <c r="K57" s="44">
        <v>22332</v>
      </c>
      <c r="L57" s="44">
        <v>22493</v>
      </c>
      <c r="M57" s="44">
        <v>23139</v>
      </c>
      <c r="N57" s="44">
        <v>21970</v>
      </c>
      <c r="O57" s="44">
        <v>20719</v>
      </c>
      <c r="P57" s="44">
        <v>21006</v>
      </c>
      <c r="Q57" s="44">
        <v>21300</v>
      </c>
      <c r="R57" s="44">
        <v>21583</v>
      </c>
      <c r="S57" s="44">
        <v>21633</v>
      </c>
      <c r="T57" s="44">
        <v>22761</v>
      </c>
      <c r="U57" s="44">
        <v>23952</v>
      </c>
      <c r="V57" s="44">
        <v>23887</v>
      </c>
      <c r="W57" s="44">
        <v>25050</v>
      </c>
      <c r="X57" s="44">
        <v>25872</v>
      </c>
      <c r="Y57" s="44">
        <v>25470</v>
      </c>
      <c r="Z57" s="44">
        <v>22803</v>
      </c>
      <c r="AA57" s="44">
        <v>25514</v>
      </c>
      <c r="AB57" s="44">
        <v>24754</v>
      </c>
      <c r="AC57" s="44">
        <v>24126</v>
      </c>
      <c r="AD57"/>
    </row>
    <row r="58" spans="1:30" x14ac:dyDescent="0.2">
      <c r="A58" s="45" t="s">
        <v>86</v>
      </c>
      <c r="B58" s="45" t="s">
        <v>352</v>
      </c>
      <c r="C58" s="45" t="s">
        <v>351</v>
      </c>
      <c r="D58" s="44">
        <v>25152</v>
      </c>
      <c r="E58" s="44">
        <v>26446</v>
      </c>
      <c r="F58" s="44">
        <v>26914</v>
      </c>
      <c r="G58" s="44">
        <v>27756</v>
      </c>
      <c r="H58" s="44">
        <v>27790</v>
      </c>
      <c r="I58" s="44">
        <v>28478</v>
      </c>
      <c r="J58" s="44">
        <v>28891</v>
      </c>
      <c r="K58" s="44">
        <v>28669</v>
      </c>
      <c r="L58" s="44">
        <v>29091</v>
      </c>
      <c r="M58" s="44">
        <v>28490</v>
      </c>
      <c r="N58" s="44">
        <v>27430</v>
      </c>
      <c r="O58" s="44">
        <v>25891</v>
      </c>
      <c r="P58" s="44">
        <v>25872</v>
      </c>
      <c r="Q58" s="44">
        <v>26411</v>
      </c>
      <c r="R58" s="44">
        <v>26482</v>
      </c>
      <c r="S58" s="44">
        <v>26898</v>
      </c>
      <c r="T58" s="44">
        <v>26443</v>
      </c>
      <c r="U58" s="44">
        <v>27457</v>
      </c>
      <c r="V58" s="44">
        <v>28135</v>
      </c>
      <c r="W58" s="44">
        <v>28303</v>
      </c>
      <c r="X58" s="44">
        <v>29106</v>
      </c>
      <c r="Y58" s="44">
        <v>29091</v>
      </c>
      <c r="Z58" s="44">
        <v>25751</v>
      </c>
      <c r="AA58" s="44">
        <v>28433</v>
      </c>
      <c r="AB58" s="44">
        <v>29539</v>
      </c>
      <c r="AC58" s="44">
        <v>28827</v>
      </c>
      <c r="AD58"/>
    </row>
    <row r="59" spans="1:30" x14ac:dyDescent="0.2">
      <c r="A59" s="51" t="s">
        <v>88</v>
      </c>
      <c r="B59" s="51" t="s">
        <v>350</v>
      </c>
      <c r="C59" s="51" t="s">
        <v>349</v>
      </c>
      <c r="D59" s="57">
        <v>24325</v>
      </c>
      <c r="E59" s="57">
        <v>24978</v>
      </c>
      <c r="F59" s="57">
        <v>25636</v>
      </c>
      <c r="G59" s="57">
        <v>26156</v>
      </c>
      <c r="H59" s="57">
        <v>26292</v>
      </c>
      <c r="I59" s="57">
        <v>26866</v>
      </c>
      <c r="J59" s="57">
        <v>27378</v>
      </c>
      <c r="K59" s="57">
        <v>27773</v>
      </c>
      <c r="L59" s="57">
        <v>28550</v>
      </c>
      <c r="M59" s="57">
        <v>28468</v>
      </c>
      <c r="N59" s="57">
        <v>28114</v>
      </c>
      <c r="O59" s="57">
        <v>26249</v>
      </c>
      <c r="P59" s="57">
        <v>27229</v>
      </c>
      <c r="Q59" s="57">
        <v>27660</v>
      </c>
      <c r="R59" s="57">
        <v>27869</v>
      </c>
      <c r="S59" s="57">
        <v>28334</v>
      </c>
      <c r="T59" s="57">
        <v>28772</v>
      </c>
      <c r="U59" s="57">
        <v>28902</v>
      </c>
      <c r="V59" s="57">
        <v>29037</v>
      </c>
      <c r="W59" s="57">
        <v>29217</v>
      </c>
      <c r="X59" s="57">
        <v>29606</v>
      </c>
      <c r="Y59" s="57">
        <v>29737</v>
      </c>
      <c r="Z59" s="57">
        <v>26821</v>
      </c>
      <c r="AA59" s="57">
        <v>29335</v>
      </c>
      <c r="AB59" s="57">
        <v>29610</v>
      </c>
      <c r="AC59" s="57">
        <v>28928</v>
      </c>
      <c r="AD59"/>
    </row>
    <row r="60" spans="1:30" x14ac:dyDescent="0.2">
      <c r="A60" s="49" t="s">
        <v>87</v>
      </c>
      <c r="B60" s="49" t="s">
        <v>348</v>
      </c>
      <c r="C60" s="49" t="s">
        <v>347</v>
      </c>
      <c r="D60" s="52">
        <v>23840</v>
      </c>
      <c r="E60" s="52">
        <v>24658</v>
      </c>
      <c r="F60" s="52">
        <v>24960</v>
      </c>
      <c r="G60" s="52">
        <v>25543</v>
      </c>
      <c r="H60" s="52">
        <v>25767</v>
      </c>
      <c r="I60" s="52">
        <v>26123</v>
      </c>
      <c r="J60" s="52">
        <v>27044</v>
      </c>
      <c r="K60" s="52">
        <v>27767</v>
      </c>
      <c r="L60" s="52">
        <v>28041</v>
      </c>
      <c r="M60" s="52">
        <v>27876</v>
      </c>
      <c r="N60" s="52">
        <v>27393</v>
      </c>
      <c r="O60" s="52">
        <v>25558</v>
      </c>
      <c r="P60" s="52">
        <v>26560</v>
      </c>
      <c r="Q60" s="52">
        <v>27432</v>
      </c>
      <c r="R60" s="52">
        <v>27694</v>
      </c>
      <c r="S60" s="52">
        <v>27833</v>
      </c>
      <c r="T60" s="52">
        <v>28047</v>
      </c>
      <c r="U60" s="52">
        <v>28232</v>
      </c>
      <c r="V60" s="52">
        <v>28394</v>
      </c>
      <c r="W60" s="52">
        <v>28583</v>
      </c>
      <c r="X60" s="52">
        <v>29020</v>
      </c>
      <c r="Y60" s="52">
        <v>29055</v>
      </c>
      <c r="Z60" s="52">
        <v>26983</v>
      </c>
      <c r="AA60" s="52">
        <v>28811</v>
      </c>
      <c r="AB60" s="52">
        <v>29200</v>
      </c>
      <c r="AC60" s="52">
        <v>28327</v>
      </c>
      <c r="AD60"/>
    </row>
    <row r="61" spans="1:30" x14ac:dyDescent="0.2">
      <c r="A61" s="45" t="s">
        <v>86</v>
      </c>
      <c r="B61" s="45" t="s">
        <v>346</v>
      </c>
      <c r="C61" s="45" t="s">
        <v>345</v>
      </c>
      <c r="D61" s="44">
        <v>29673</v>
      </c>
      <c r="E61" s="44">
        <v>31764</v>
      </c>
      <c r="F61" s="44">
        <v>33380</v>
      </c>
      <c r="G61" s="44">
        <v>34743</v>
      </c>
      <c r="H61" s="44">
        <v>35685</v>
      </c>
      <c r="I61" s="44">
        <v>36212</v>
      </c>
      <c r="J61" s="44">
        <v>38266</v>
      </c>
      <c r="K61" s="44">
        <v>40411</v>
      </c>
      <c r="L61" s="44">
        <v>41041</v>
      </c>
      <c r="M61" s="44">
        <v>40861</v>
      </c>
      <c r="N61" s="44">
        <v>39693</v>
      </c>
      <c r="O61" s="44">
        <v>36448</v>
      </c>
      <c r="P61" s="44">
        <v>35911</v>
      </c>
      <c r="Q61" s="44">
        <v>37345</v>
      </c>
      <c r="R61" s="44">
        <v>36105</v>
      </c>
      <c r="S61" s="44">
        <v>36174</v>
      </c>
      <c r="T61" s="44">
        <v>34865</v>
      </c>
      <c r="U61" s="44">
        <v>33507</v>
      </c>
      <c r="V61" s="44">
        <v>33351</v>
      </c>
      <c r="W61" s="44">
        <v>32984</v>
      </c>
      <c r="X61" s="44">
        <v>34200</v>
      </c>
      <c r="Y61" s="44">
        <v>34799</v>
      </c>
      <c r="Z61" s="44">
        <v>34021</v>
      </c>
      <c r="AA61" s="44">
        <v>36759</v>
      </c>
      <c r="AB61" s="44">
        <v>35751</v>
      </c>
      <c r="AC61" s="44">
        <v>35070</v>
      </c>
      <c r="AD61"/>
    </row>
    <row r="62" spans="1:30" x14ac:dyDescent="0.2">
      <c r="A62" s="45" t="s">
        <v>86</v>
      </c>
      <c r="B62" s="45" t="s">
        <v>344</v>
      </c>
      <c r="C62" s="45" t="s">
        <v>343</v>
      </c>
      <c r="D62" s="44">
        <v>20790</v>
      </c>
      <c r="E62" s="44">
        <v>21379</v>
      </c>
      <c r="F62" s="44">
        <v>21948</v>
      </c>
      <c r="G62" s="44">
        <v>22249</v>
      </c>
      <c r="H62" s="44">
        <v>22252</v>
      </c>
      <c r="I62" s="44">
        <v>22226</v>
      </c>
      <c r="J62" s="44">
        <v>22803</v>
      </c>
      <c r="K62" s="44">
        <v>23620</v>
      </c>
      <c r="L62" s="44">
        <v>23994</v>
      </c>
      <c r="M62" s="44">
        <v>23757</v>
      </c>
      <c r="N62" s="44">
        <v>23487</v>
      </c>
      <c r="O62" s="44">
        <v>22085</v>
      </c>
      <c r="P62" s="44">
        <v>23047</v>
      </c>
      <c r="Q62" s="44">
        <v>23479</v>
      </c>
      <c r="R62" s="44">
        <v>24228</v>
      </c>
      <c r="S62" s="44">
        <v>24359</v>
      </c>
      <c r="T62" s="44">
        <v>25060</v>
      </c>
      <c r="U62" s="44">
        <v>26833</v>
      </c>
      <c r="V62" s="44">
        <v>26940</v>
      </c>
      <c r="W62" s="44">
        <v>27189</v>
      </c>
      <c r="X62" s="44">
        <v>27643</v>
      </c>
      <c r="Y62" s="44">
        <v>27229</v>
      </c>
      <c r="Z62" s="44">
        <v>25861</v>
      </c>
      <c r="AA62" s="44">
        <v>27874</v>
      </c>
      <c r="AB62" s="44">
        <v>28095</v>
      </c>
      <c r="AC62" s="44">
        <v>26567</v>
      </c>
      <c r="AD62"/>
    </row>
    <row r="63" spans="1:30" x14ac:dyDescent="0.2">
      <c r="A63" s="45" t="s">
        <v>86</v>
      </c>
      <c r="B63" s="45" t="s">
        <v>342</v>
      </c>
      <c r="C63" s="45" t="s">
        <v>341</v>
      </c>
      <c r="D63" s="44">
        <v>21791</v>
      </c>
      <c r="E63" s="44">
        <v>22315</v>
      </c>
      <c r="F63" s="44">
        <v>21980</v>
      </c>
      <c r="G63" s="44">
        <v>22341</v>
      </c>
      <c r="H63" s="44">
        <v>22431</v>
      </c>
      <c r="I63" s="44">
        <v>22812</v>
      </c>
      <c r="J63" s="44">
        <v>23594</v>
      </c>
      <c r="K63" s="44">
        <v>24328</v>
      </c>
      <c r="L63" s="44">
        <v>24465</v>
      </c>
      <c r="M63" s="44">
        <v>24019</v>
      </c>
      <c r="N63" s="44">
        <v>23822</v>
      </c>
      <c r="O63" s="44">
        <v>22090</v>
      </c>
      <c r="P63" s="44">
        <v>23233</v>
      </c>
      <c r="Q63" s="44">
        <v>23845</v>
      </c>
      <c r="R63" s="44">
        <v>24679</v>
      </c>
      <c r="S63" s="44">
        <v>25374</v>
      </c>
      <c r="T63" s="44">
        <v>25802</v>
      </c>
      <c r="U63" s="44">
        <v>25634</v>
      </c>
      <c r="V63" s="44">
        <v>26002</v>
      </c>
      <c r="W63" s="44">
        <v>26009</v>
      </c>
      <c r="X63" s="44">
        <v>26409</v>
      </c>
      <c r="Y63" s="44">
        <v>27042</v>
      </c>
      <c r="Z63" s="44">
        <v>25437</v>
      </c>
      <c r="AA63" s="44">
        <v>26619</v>
      </c>
      <c r="AB63" s="44">
        <v>25975</v>
      </c>
      <c r="AC63" s="44">
        <v>25198</v>
      </c>
      <c r="AD63"/>
    </row>
    <row r="64" spans="1:30" x14ac:dyDescent="0.2">
      <c r="A64" s="45" t="s">
        <v>86</v>
      </c>
      <c r="B64" s="45" t="s">
        <v>340</v>
      </c>
      <c r="C64" s="45" t="s">
        <v>339</v>
      </c>
      <c r="D64" s="44">
        <v>34798</v>
      </c>
      <c r="E64" s="44">
        <v>36116</v>
      </c>
      <c r="F64" s="44">
        <v>36442</v>
      </c>
      <c r="G64" s="44">
        <v>38090</v>
      </c>
      <c r="H64" s="44">
        <v>38194</v>
      </c>
      <c r="I64" s="44">
        <v>38697</v>
      </c>
      <c r="J64" s="44">
        <v>39819</v>
      </c>
      <c r="K64" s="44">
        <v>39627</v>
      </c>
      <c r="L64" s="44">
        <v>39740</v>
      </c>
      <c r="M64" s="44">
        <v>39771</v>
      </c>
      <c r="N64" s="44">
        <v>38618</v>
      </c>
      <c r="O64" s="44">
        <v>35845</v>
      </c>
      <c r="P64" s="44">
        <v>37387</v>
      </c>
      <c r="Q64" s="44">
        <v>38289</v>
      </c>
      <c r="R64" s="44">
        <v>37752</v>
      </c>
      <c r="S64" s="44">
        <v>37402</v>
      </c>
      <c r="T64" s="44">
        <v>38663</v>
      </c>
      <c r="U64" s="44">
        <v>39016</v>
      </c>
      <c r="V64" s="44">
        <v>39482</v>
      </c>
      <c r="W64" s="44">
        <v>40312</v>
      </c>
      <c r="X64" s="44">
        <v>40230</v>
      </c>
      <c r="Y64" s="44">
        <v>39405</v>
      </c>
      <c r="Z64" s="44">
        <v>34602</v>
      </c>
      <c r="AA64" s="44">
        <v>37532</v>
      </c>
      <c r="AB64" s="44">
        <v>39553</v>
      </c>
      <c r="AC64" s="44">
        <v>39154</v>
      </c>
      <c r="AD64"/>
    </row>
    <row r="65" spans="1:30" x14ac:dyDescent="0.2">
      <c r="A65" s="45" t="s">
        <v>86</v>
      </c>
      <c r="B65" s="45" t="s">
        <v>338</v>
      </c>
      <c r="C65" s="45" t="s">
        <v>337</v>
      </c>
      <c r="D65" s="44">
        <v>20510</v>
      </c>
      <c r="E65" s="44">
        <v>21336</v>
      </c>
      <c r="F65" s="44">
        <v>21788</v>
      </c>
      <c r="G65" s="44">
        <v>22181</v>
      </c>
      <c r="H65" s="44">
        <v>22364</v>
      </c>
      <c r="I65" s="44">
        <v>22728</v>
      </c>
      <c r="J65" s="44">
        <v>23359</v>
      </c>
      <c r="K65" s="44">
        <v>23530</v>
      </c>
      <c r="L65" s="44">
        <v>23938</v>
      </c>
      <c r="M65" s="44">
        <v>23627</v>
      </c>
      <c r="N65" s="44">
        <v>23035</v>
      </c>
      <c r="O65" s="44">
        <v>21739</v>
      </c>
      <c r="P65" s="44">
        <v>22609</v>
      </c>
      <c r="Q65" s="44">
        <v>23458</v>
      </c>
      <c r="R65" s="44">
        <v>23606</v>
      </c>
      <c r="S65" s="44">
        <v>23829</v>
      </c>
      <c r="T65" s="44">
        <v>24066</v>
      </c>
      <c r="U65" s="44">
        <v>24549</v>
      </c>
      <c r="V65" s="44">
        <v>24736</v>
      </c>
      <c r="W65" s="44">
        <v>24784</v>
      </c>
      <c r="X65" s="44">
        <v>25099</v>
      </c>
      <c r="Y65" s="44">
        <v>25296</v>
      </c>
      <c r="Z65" s="44">
        <v>23298</v>
      </c>
      <c r="AA65" s="44">
        <v>24954</v>
      </c>
      <c r="AB65" s="44">
        <v>25491</v>
      </c>
      <c r="AC65" s="44">
        <v>24353</v>
      </c>
      <c r="AD65"/>
    </row>
    <row r="66" spans="1:30" x14ac:dyDescent="0.2">
      <c r="A66" s="45" t="s">
        <v>86</v>
      </c>
      <c r="B66" s="45" t="s">
        <v>336</v>
      </c>
      <c r="C66" s="45" t="s">
        <v>335</v>
      </c>
      <c r="D66" s="44">
        <v>20000</v>
      </c>
      <c r="E66" s="44">
        <v>20829</v>
      </c>
      <c r="F66" s="44">
        <v>20826</v>
      </c>
      <c r="G66" s="44">
        <v>21194</v>
      </c>
      <c r="H66" s="44">
        <v>21121</v>
      </c>
      <c r="I66" s="44">
        <v>21282</v>
      </c>
      <c r="J66" s="44">
        <v>21882</v>
      </c>
      <c r="K66" s="44">
        <v>22370</v>
      </c>
      <c r="L66" s="44">
        <v>22808</v>
      </c>
      <c r="M66" s="44">
        <v>22808</v>
      </c>
      <c r="N66" s="44">
        <v>22352</v>
      </c>
      <c r="O66" s="44">
        <v>21274</v>
      </c>
      <c r="P66" s="44">
        <v>22138</v>
      </c>
      <c r="Q66" s="44">
        <v>22459</v>
      </c>
      <c r="R66" s="44">
        <v>23002</v>
      </c>
      <c r="S66" s="44">
        <v>23221</v>
      </c>
      <c r="T66" s="44">
        <v>23054</v>
      </c>
      <c r="U66" s="44">
        <v>23607</v>
      </c>
      <c r="V66" s="44">
        <v>23797</v>
      </c>
      <c r="W66" s="44">
        <v>23962</v>
      </c>
      <c r="X66" s="44">
        <v>24823</v>
      </c>
      <c r="Y66" s="44">
        <v>24766</v>
      </c>
      <c r="Z66" s="44">
        <v>22929</v>
      </c>
      <c r="AA66" s="44">
        <v>24222</v>
      </c>
      <c r="AB66" s="44">
        <v>25374</v>
      </c>
      <c r="AC66" s="44">
        <v>24877</v>
      </c>
      <c r="AD66"/>
    </row>
    <row r="67" spans="1:30" x14ac:dyDescent="0.2">
      <c r="A67" s="49" t="s">
        <v>87</v>
      </c>
      <c r="B67" s="49" t="s">
        <v>334</v>
      </c>
      <c r="C67" s="49" t="s">
        <v>333</v>
      </c>
      <c r="D67" s="52">
        <v>25872</v>
      </c>
      <c r="E67" s="52">
        <v>26371</v>
      </c>
      <c r="F67" s="52">
        <v>27499</v>
      </c>
      <c r="G67" s="52">
        <v>27787</v>
      </c>
      <c r="H67" s="52">
        <v>27698</v>
      </c>
      <c r="I67" s="52">
        <v>28608</v>
      </c>
      <c r="J67" s="52">
        <v>29236</v>
      </c>
      <c r="K67" s="52">
        <v>29117</v>
      </c>
      <c r="L67" s="52">
        <v>30484</v>
      </c>
      <c r="M67" s="52">
        <v>30591</v>
      </c>
      <c r="N67" s="52">
        <v>30193</v>
      </c>
      <c r="O67" s="52">
        <v>28207</v>
      </c>
      <c r="P67" s="52">
        <v>29400</v>
      </c>
      <c r="Q67" s="52">
        <v>29216</v>
      </c>
      <c r="R67" s="52">
        <v>29379</v>
      </c>
      <c r="S67" s="52">
        <v>30154</v>
      </c>
      <c r="T67" s="52">
        <v>30799</v>
      </c>
      <c r="U67" s="52">
        <v>31074</v>
      </c>
      <c r="V67" s="52">
        <v>31259</v>
      </c>
      <c r="W67" s="52">
        <v>31123</v>
      </c>
      <c r="X67" s="52">
        <v>31471</v>
      </c>
      <c r="Y67" s="52">
        <v>31433</v>
      </c>
      <c r="Z67" s="52">
        <v>27607</v>
      </c>
      <c r="AA67" s="52">
        <v>31076</v>
      </c>
      <c r="AB67" s="52">
        <v>31309</v>
      </c>
      <c r="AC67" s="52">
        <v>30777</v>
      </c>
      <c r="AD67"/>
    </row>
    <row r="68" spans="1:30" x14ac:dyDescent="0.2">
      <c r="A68" s="45" t="s">
        <v>86</v>
      </c>
      <c r="B68" s="45" t="s">
        <v>332</v>
      </c>
      <c r="C68" s="45" t="s">
        <v>331</v>
      </c>
      <c r="D68" s="44">
        <v>23142</v>
      </c>
      <c r="E68" s="44">
        <v>24181</v>
      </c>
      <c r="F68" s="44">
        <v>25696</v>
      </c>
      <c r="G68" s="44">
        <v>26317</v>
      </c>
      <c r="H68" s="44">
        <v>26299</v>
      </c>
      <c r="I68" s="44">
        <v>27215</v>
      </c>
      <c r="J68" s="44">
        <v>28161</v>
      </c>
      <c r="K68" s="44">
        <v>27805</v>
      </c>
      <c r="L68" s="44">
        <v>28816</v>
      </c>
      <c r="M68" s="44">
        <v>29045</v>
      </c>
      <c r="N68" s="44">
        <v>28772</v>
      </c>
      <c r="O68" s="44">
        <v>27048</v>
      </c>
      <c r="P68" s="44">
        <v>27785</v>
      </c>
      <c r="Q68" s="44">
        <v>27653</v>
      </c>
      <c r="R68" s="44">
        <v>27968</v>
      </c>
      <c r="S68" s="44">
        <v>28357</v>
      </c>
      <c r="T68" s="44">
        <v>29592</v>
      </c>
      <c r="U68" s="44">
        <v>29685</v>
      </c>
      <c r="V68" s="44">
        <v>29691</v>
      </c>
      <c r="W68" s="44">
        <v>29089</v>
      </c>
      <c r="X68" s="44">
        <v>29290</v>
      </c>
      <c r="Y68" s="44">
        <v>29437</v>
      </c>
      <c r="Z68" s="44">
        <v>25268</v>
      </c>
      <c r="AA68" s="44">
        <v>29283</v>
      </c>
      <c r="AB68" s="44">
        <v>28573</v>
      </c>
      <c r="AC68" s="44">
        <v>27559</v>
      </c>
      <c r="AD68"/>
    </row>
    <row r="69" spans="1:30" x14ac:dyDescent="0.2">
      <c r="A69" s="45" t="s">
        <v>86</v>
      </c>
      <c r="B69" s="45" t="s">
        <v>330</v>
      </c>
      <c r="C69" s="45" t="s">
        <v>329</v>
      </c>
      <c r="D69" s="44">
        <v>27053</v>
      </c>
      <c r="E69" s="44">
        <v>27247</v>
      </c>
      <c r="F69" s="44">
        <v>28264</v>
      </c>
      <c r="G69" s="44">
        <v>28575</v>
      </c>
      <c r="H69" s="44">
        <v>28656</v>
      </c>
      <c r="I69" s="44">
        <v>29753</v>
      </c>
      <c r="J69" s="44">
        <v>30402</v>
      </c>
      <c r="K69" s="44">
        <v>30400</v>
      </c>
      <c r="L69" s="44">
        <v>31719</v>
      </c>
      <c r="M69" s="44">
        <v>31694</v>
      </c>
      <c r="N69" s="44">
        <v>31133</v>
      </c>
      <c r="O69" s="44">
        <v>28940</v>
      </c>
      <c r="P69" s="44">
        <v>30431</v>
      </c>
      <c r="Q69" s="44">
        <v>29997</v>
      </c>
      <c r="R69" s="44">
        <v>30123</v>
      </c>
      <c r="S69" s="44">
        <v>30708</v>
      </c>
      <c r="T69" s="44">
        <v>31079</v>
      </c>
      <c r="U69" s="44">
        <v>31236</v>
      </c>
      <c r="V69" s="44">
        <v>31513</v>
      </c>
      <c r="W69" s="44">
        <v>31353</v>
      </c>
      <c r="X69" s="44">
        <v>31534</v>
      </c>
      <c r="Y69" s="44">
        <v>31249</v>
      </c>
      <c r="Z69" s="44">
        <v>27507</v>
      </c>
      <c r="AA69" s="44">
        <v>30943</v>
      </c>
      <c r="AB69" s="44">
        <v>31565</v>
      </c>
      <c r="AC69" s="44">
        <v>31880</v>
      </c>
      <c r="AD69"/>
    </row>
    <row r="70" spans="1:30" x14ac:dyDescent="0.2">
      <c r="A70" s="45" t="s">
        <v>86</v>
      </c>
      <c r="B70" s="45" t="s">
        <v>328</v>
      </c>
      <c r="C70" s="45" t="s">
        <v>327</v>
      </c>
      <c r="D70" s="44">
        <v>30339</v>
      </c>
      <c r="E70" s="44">
        <v>30621</v>
      </c>
      <c r="F70" s="44">
        <v>32460</v>
      </c>
      <c r="G70" s="44">
        <v>32845</v>
      </c>
      <c r="H70" s="44">
        <v>32761</v>
      </c>
      <c r="I70" s="44">
        <v>33222</v>
      </c>
      <c r="J70" s="44">
        <v>34104</v>
      </c>
      <c r="K70" s="44">
        <v>34386</v>
      </c>
      <c r="L70" s="44">
        <v>36295</v>
      </c>
      <c r="M70" s="44">
        <v>36870</v>
      </c>
      <c r="N70" s="44">
        <v>36615</v>
      </c>
      <c r="O70" s="44">
        <v>33697</v>
      </c>
      <c r="P70" s="44">
        <v>34845</v>
      </c>
      <c r="Q70" s="44">
        <v>35162</v>
      </c>
      <c r="R70" s="44">
        <v>34626</v>
      </c>
      <c r="S70" s="44">
        <v>35683</v>
      </c>
      <c r="T70" s="44">
        <v>36115</v>
      </c>
      <c r="U70" s="44">
        <v>36192</v>
      </c>
      <c r="V70" s="44">
        <v>36595</v>
      </c>
      <c r="W70" s="44">
        <v>37257</v>
      </c>
      <c r="X70" s="44">
        <v>38043</v>
      </c>
      <c r="Y70" s="44">
        <v>37944</v>
      </c>
      <c r="Z70" s="44">
        <v>33532</v>
      </c>
      <c r="AA70" s="44">
        <v>37488</v>
      </c>
      <c r="AB70" s="44">
        <v>37970</v>
      </c>
      <c r="AC70" s="44">
        <v>36974</v>
      </c>
      <c r="AD70"/>
    </row>
    <row r="71" spans="1:30" x14ac:dyDescent="0.2">
      <c r="A71" s="45" t="s">
        <v>86</v>
      </c>
      <c r="B71" s="45" t="s">
        <v>326</v>
      </c>
      <c r="C71" s="45" t="s">
        <v>325</v>
      </c>
      <c r="D71" s="44">
        <v>24300</v>
      </c>
      <c r="E71" s="44">
        <v>24712</v>
      </c>
      <c r="F71" s="44">
        <v>25391</v>
      </c>
      <c r="G71" s="44">
        <v>25030</v>
      </c>
      <c r="H71" s="44">
        <v>24478</v>
      </c>
      <c r="I71" s="44">
        <v>25235</v>
      </c>
      <c r="J71" s="44">
        <v>25722</v>
      </c>
      <c r="K71" s="44">
        <v>25588</v>
      </c>
      <c r="L71" s="44">
        <v>26367</v>
      </c>
      <c r="M71" s="44">
        <v>26271</v>
      </c>
      <c r="N71" s="44">
        <v>25872</v>
      </c>
      <c r="O71" s="44">
        <v>24059</v>
      </c>
      <c r="P71" s="44">
        <v>25052</v>
      </c>
      <c r="Q71" s="44">
        <v>24460</v>
      </c>
      <c r="R71" s="44">
        <v>25173</v>
      </c>
      <c r="S71" s="44">
        <v>25417</v>
      </c>
      <c r="T71" s="44">
        <v>26098</v>
      </c>
      <c r="U71" s="44">
        <v>26060</v>
      </c>
      <c r="V71" s="44">
        <v>26089</v>
      </c>
      <c r="W71" s="44">
        <v>25674</v>
      </c>
      <c r="X71" s="44">
        <v>25898</v>
      </c>
      <c r="Y71" s="44">
        <v>26047</v>
      </c>
      <c r="Z71" s="44">
        <v>23152</v>
      </c>
      <c r="AA71" s="44">
        <v>25504</v>
      </c>
      <c r="AB71" s="44">
        <v>25700</v>
      </c>
      <c r="AC71" s="44">
        <v>24897</v>
      </c>
      <c r="AD71"/>
    </row>
    <row r="72" spans="1:30" x14ac:dyDescent="0.2">
      <c r="A72" s="49" t="s">
        <v>87</v>
      </c>
      <c r="B72" s="49" t="s">
        <v>324</v>
      </c>
      <c r="C72" s="49" t="s">
        <v>323</v>
      </c>
      <c r="D72" s="52">
        <v>22105</v>
      </c>
      <c r="E72" s="52">
        <v>22614</v>
      </c>
      <c r="F72" s="52">
        <v>23242</v>
      </c>
      <c r="G72" s="52">
        <v>24138</v>
      </c>
      <c r="H72" s="52">
        <v>24551</v>
      </c>
      <c r="I72" s="52">
        <v>24983</v>
      </c>
      <c r="J72" s="52">
        <v>24010</v>
      </c>
      <c r="K72" s="52">
        <v>24640</v>
      </c>
      <c r="L72" s="52">
        <v>25472</v>
      </c>
      <c r="M72" s="52">
        <v>25183</v>
      </c>
      <c r="N72" s="52">
        <v>25314</v>
      </c>
      <c r="O72" s="52">
        <v>23637</v>
      </c>
      <c r="P72" s="52">
        <v>24042</v>
      </c>
      <c r="Q72" s="52">
        <v>24638</v>
      </c>
      <c r="R72" s="52">
        <v>24780</v>
      </c>
      <c r="S72" s="52">
        <v>25442</v>
      </c>
      <c r="T72" s="52">
        <v>26018</v>
      </c>
      <c r="U72" s="52">
        <v>25586</v>
      </c>
      <c r="V72" s="52">
        <v>25487</v>
      </c>
      <c r="W72" s="52">
        <v>26385</v>
      </c>
      <c r="X72" s="52">
        <v>26696</v>
      </c>
      <c r="Y72" s="52">
        <v>27504</v>
      </c>
      <c r="Z72" s="52">
        <v>24396</v>
      </c>
      <c r="AA72" s="52">
        <v>26509</v>
      </c>
      <c r="AB72" s="52">
        <v>26561</v>
      </c>
      <c r="AC72" s="52">
        <v>26041</v>
      </c>
      <c r="AD72"/>
    </row>
    <row r="73" spans="1:30" x14ac:dyDescent="0.2">
      <c r="A73" s="45" t="s">
        <v>86</v>
      </c>
      <c r="B73" s="45" t="s">
        <v>322</v>
      </c>
      <c r="C73" s="45" t="s">
        <v>321</v>
      </c>
      <c r="D73" s="44">
        <v>22478</v>
      </c>
      <c r="E73" s="44">
        <v>23005</v>
      </c>
      <c r="F73" s="44">
        <v>23653</v>
      </c>
      <c r="G73" s="44">
        <v>24580</v>
      </c>
      <c r="H73" s="44">
        <v>24923</v>
      </c>
      <c r="I73" s="44">
        <v>25288</v>
      </c>
      <c r="J73" s="44">
        <v>24299</v>
      </c>
      <c r="K73" s="44">
        <v>24898</v>
      </c>
      <c r="L73" s="44">
        <v>25678</v>
      </c>
      <c r="M73" s="44">
        <v>25345</v>
      </c>
      <c r="N73" s="44">
        <v>25408</v>
      </c>
      <c r="O73" s="44">
        <v>23785</v>
      </c>
      <c r="P73" s="44">
        <v>24163</v>
      </c>
      <c r="Q73" s="44">
        <v>24632</v>
      </c>
      <c r="R73" s="44">
        <v>24826</v>
      </c>
      <c r="S73" s="44">
        <v>25467</v>
      </c>
      <c r="T73" s="44">
        <v>26051</v>
      </c>
      <c r="U73" s="44">
        <v>25730</v>
      </c>
      <c r="V73" s="44">
        <v>25530</v>
      </c>
      <c r="W73" s="44">
        <v>26427</v>
      </c>
      <c r="X73" s="44">
        <v>26798</v>
      </c>
      <c r="Y73" s="44">
        <v>27529</v>
      </c>
      <c r="Z73" s="44">
        <v>24444</v>
      </c>
      <c r="AA73" s="44">
        <v>26536</v>
      </c>
      <c r="AB73" s="44">
        <v>26561</v>
      </c>
      <c r="AC73" s="44">
        <v>26072</v>
      </c>
      <c r="AD73"/>
    </row>
    <row r="74" spans="1:30" x14ac:dyDescent="0.2">
      <c r="A74" s="51" t="s">
        <v>88</v>
      </c>
      <c r="B74" s="51" t="s">
        <v>320</v>
      </c>
      <c r="C74" s="51" t="s">
        <v>300</v>
      </c>
      <c r="D74" s="57">
        <v>24044</v>
      </c>
      <c r="E74" s="57">
        <v>24897</v>
      </c>
      <c r="F74" s="57">
        <v>25609</v>
      </c>
      <c r="G74" s="57">
        <v>26197</v>
      </c>
      <c r="H74" s="57">
        <v>26277</v>
      </c>
      <c r="I74" s="57">
        <v>26794</v>
      </c>
      <c r="J74" s="57">
        <v>27299</v>
      </c>
      <c r="K74" s="57">
        <v>27461</v>
      </c>
      <c r="L74" s="57">
        <v>27789</v>
      </c>
      <c r="M74" s="57">
        <v>27716</v>
      </c>
      <c r="N74" s="57">
        <v>27344</v>
      </c>
      <c r="O74" s="57">
        <v>25433</v>
      </c>
      <c r="P74" s="57">
        <v>26355</v>
      </c>
      <c r="Q74" s="57">
        <v>27167</v>
      </c>
      <c r="R74" s="57">
        <v>27393</v>
      </c>
      <c r="S74" s="57">
        <v>27833</v>
      </c>
      <c r="T74" s="57">
        <v>28590</v>
      </c>
      <c r="U74" s="57">
        <v>29074</v>
      </c>
      <c r="V74" s="57">
        <v>29503</v>
      </c>
      <c r="W74" s="57">
        <v>30240</v>
      </c>
      <c r="X74" s="57">
        <v>30412</v>
      </c>
      <c r="Y74" s="57">
        <v>30105</v>
      </c>
      <c r="Z74" s="57">
        <v>26716</v>
      </c>
      <c r="AA74" s="57">
        <v>29477</v>
      </c>
      <c r="AB74" s="57">
        <v>29921</v>
      </c>
      <c r="AC74" s="57">
        <v>29530</v>
      </c>
      <c r="AD74"/>
    </row>
    <row r="75" spans="1:30" x14ac:dyDescent="0.2">
      <c r="A75" s="49" t="s">
        <v>87</v>
      </c>
      <c r="B75" s="49" t="s">
        <v>319</v>
      </c>
      <c r="C75" s="49" t="s">
        <v>318</v>
      </c>
      <c r="D75" s="52">
        <v>24910</v>
      </c>
      <c r="E75" s="52">
        <v>26160</v>
      </c>
      <c r="F75" s="52">
        <v>27149</v>
      </c>
      <c r="G75" s="52">
        <v>26900</v>
      </c>
      <c r="H75" s="52">
        <v>26832</v>
      </c>
      <c r="I75" s="52">
        <v>27502</v>
      </c>
      <c r="J75" s="52">
        <v>27845</v>
      </c>
      <c r="K75" s="52">
        <v>28041</v>
      </c>
      <c r="L75" s="52">
        <v>28945</v>
      </c>
      <c r="M75" s="52">
        <v>28156</v>
      </c>
      <c r="N75" s="52">
        <v>28101</v>
      </c>
      <c r="O75" s="52">
        <v>26480</v>
      </c>
      <c r="P75" s="52">
        <v>27628</v>
      </c>
      <c r="Q75" s="52">
        <v>29078</v>
      </c>
      <c r="R75" s="52">
        <v>29727</v>
      </c>
      <c r="S75" s="52">
        <v>30766</v>
      </c>
      <c r="T75" s="52">
        <v>31971</v>
      </c>
      <c r="U75" s="52">
        <v>32870</v>
      </c>
      <c r="V75" s="52">
        <v>32660</v>
      </c>
      <c r="W75" s="52">
        <v>34631</v>
      </c>
      <c r="X75" s="52">
        <v>34726</v>
      </c>
      <c r="Y75" s="52">
        <v>34093</v>
      </c>
      <c r="Z75" s="52">
        <v>31145</v>
      </c>
      <c r="AA75" s="52">
        <v>32857</v>
      </c>
      <c r="AB75" s="52">
        <v>34579</v>
      </c>
      <c r="AC75" s="52">
        <v>34674</v>
      </c>
      <c r="AD75"/>
    </row>
    <row r="76" spans="1:30" x14ac:dyDescent="0.2">
      <c r="A76" s="45" t="s">
        <v>86</v>
      </c>
      <c r="B76" s="45" t="s">
        <v>317</v>
      </c>
      <c r="C76" s="45" t="s">
        <v>316</v>
      </c>
      <c r="D76" s="44">
        <v>22389</v>
      </c>
      <c r="E76" s="44">
        <v>23652</v>
      </c>
      <c r="F76" s="44">
        <v>24540</v>
      </c>
      <c r="G76" s="44">
        <v>24268</v>
      </c>
      <c r="H76" s="44">
        <v>24798</v>
      </c>
      <c r="I76" s="44">
        <v>24760</v>
      </c>
      <c r="J76" s="44">
        <v>24083</v>
      </c>
      <c r="K76" s="44">
        <v>24476</v>
      </c>
      <c r="L76" s="44">
        <v>24702</v>
      </c>
      <c r="M76" s="44">
        <v>23948</v>
      </c>
      <c r="N76" s="44">
        <v>23904</v>
      </c>
      <c r="O76" s="44">
        <v>22574</v>
      </c>
      <c r="P76" s="44">
        <v>22788</v>
      </c>
      <c r="Q76" s="44">
        <v>23977</v>
      </c>
      <c r="R76" s="44">
        <v>24142</v>
      </c>
      <c r="S76" s="44">
        <v>24647</v>
      </c>
      <c r="T76" s="44">
        <v>25874</v>
      </c>
      <c r="U76" s="44">
        <v>26030</v>
      </c>
      <c r="V76" s="44">
        <v>25968</v>
      </c>
      <c r="W76" s="44">
        <v>26697</v>
      </c>
      <c r="X76" s="44">
        <v>27337</v>
      </c>
      <c r="Y76" s="44">
        <v>27699</v>
      </c>
      <c r="Z76" s="44">
        <v>24984</v>
      </c>
      <c r="AA76" s="44">
        <v>26737</v>
      </c>
      <c r="AB76" s="44">
        <v>27826</v>
      </c>
      <c r="AC76" s="44">
        <v>27636</v>
      </c>
      <c r="AD76"/>
    </row>
    <row r="77" spans="1:30" x14ac:dyDescent="0.2">
      <c r="A77" s="45" t="s">
        <v>86</v>
      </c>
      <c r="B77" s="45" t="s">
        <v>315</v>
      </c>
      <c r="C77" s="45" t="s">
        <v>314</v>
      </c>
      <c r="D77" s="44">
        <v>23746</v>
      </c>
      <c r="E77" s="44">
        <v>24662</v>
      </c>
      <c r="F77" s="44">
        <v>25720</v>
      </c>
      <c r="G77" s="44">
        <v>25565</v>
      </c>
      <c r="H77" s="44">
        <v>25316</v>
      </c>
      <c r="I77" s="44">
        <v>25972</v>
      </c>
      <c r="J77" s="44">
        <v>26535</v>
      </c>
      <c r="K77" s="44">
        <v>26433</v>
      </c>
      <c r="L77" s="44">
        <v>27049</v>
      </c>
      <c r="M77" s="44">
        <v>26298</v>
      </c>
      <c r="N77" s="44">
        <v>26305</v>
      </c>
      <c r="O77" s="44">
        <v>25085</v>
      </c>
      <c r="P77" s="44">
        <v>26312</v>
      </c>
      <c r="Q77" s="44">
        <v>27352</v>
      </c>
      <c r="R77" s="44">
        <v>27831</v>
      </c>
      <c r="S77" s="44">
        <v>27970</v>
      </c>
      <c r="T77" s="44">
        <v>28810</v>
      </c>
      <c r="U77" s="44">
        <v>28957</v>
      </c>
      <c r="V77" s="44">
        <v>28592</v>
      </c>
      <c r="W77" s="44">
        <v>30076</v>
      </c>
      <c r="X77" s="44">
        <v>30399</v>
      </c>
      <c r="Y77" s="44">
        <v>30201</v>
      </c>
      <c r="Z77" s="44">
        <v>27917</v>
      </c>
      <c r="AA77" s="44">
        <v>29124</v>
      </c>
      <c r="AB77" s="44">
        <v>30515</v>
      </c>
      <c r="AC77" s="44">
        <v>30034</v>
      </c>
      <c r="AD77"/>
    </row>
    <row r="78" spans="1:30" x14ac:dyDescent="0.2">
      <c r="A78" s="45" t="s">
        <v>86</v>
      </c>
      <c r="B78" s="45" t="s">
        <v>313</v>
      </c>
      <c r="C78" s="45" t="s">
        <v>312</v>
      </c>
      <c r="D78" s="44">
        <v>28940</v>
      </c>
      <c r="E78" s="44">
        <v>30746</v>
      </c>
      <c r="F78" s="44">
        <v>31859</v>
      </c>
      <c r="G78" s="44">
        <v>31455</v>
      </c>
      <c r="H78" s="44">
        <v>31295</v>
      </c>
      <c r="I78" s="44">
        <v>32097</v>
      </c>
      <c r="J78" s="44">
        <v>32622</v>
      </c>
      <c r="K78" s="44">
        <v>33155</v>
      </c>
      <c r="L78" s="44">
        <v>34368</v>
      </c>
      <c r="M78" s="44">
        <v>33436</v>
      </c>
      <c r="N78" s="44">
        <v>33233</v>
      </c>
      <c r="O78" s="44">
        <v>30910</v>
      </c>
      <c r="P78" s="44">
        <v>32234</v>
      </c>
      <c r="Q78" s="44">
        <v>33963</v>
      </c>
      <c r="R78" s="44">
        <v>34936</v>
      </c>
      <c r="S78" s="44">
        <v>36781</v>
      </c>
      <c r="T78" s="44">
        <v>38276</v>
      </c>
      <c r="U78" s="44">
        <v>39812</v>
      </c>
      <c r="V78" s="44">
        <v>39540</v>
      </c>
      <c r="W78" s="44">
        <v>42557</v>
      </c>
      <c r="X78" s="44">
        <v>42060</v>
      </c>
      <c r="Y78" s="44">
        <v>40482</v>
      </c>
      <c r="Z78" s="44">
        <v>36637</v>
      </c>
      <c r="AA78" s="44">
        <v>38538</v>
      </c>
      <c r="AB78" s="44">
        <v>40749</v>
      </c>
      <c r="AC78" s="44">
        <v>41514</v>
      </c>
      <c r="AD78"/>
    </row>
    <row r="79" spans="1:30" x14ac:dyDescent="0.2">
      <c r="A79" s="49" t="s">
        <v>87</v>
      </c>
      <c r="B79" s="49" t="s">
        <v>311</v>
      </c>
      <c r="C79" s="49" t="s">
        <v>310</v>
      </c>
      <c r="D79" s="52">
        <v>22801</v>
      </c>
      <c r="E79" s="52">
        <v>23136</v>
      </c>
      <c r="F79" s="52">
        <v>23603</v>
      </c>
      <c r="G79" s="52">
        <v>24004</v>
      </c>
      <c r="H79" s="52">
        <v>24576</v>
      </c>
      <c r="I79" s="52">
        <v>25034</v>
      </c>
      <c r="J79" s="52">
        <v>25775</v>
      </c>
      <c r="K79" s="52">
        <v>25980</v>
      </c>
      <c r="L79" s="52">
        <v>26384</v>
      </c>
      <c r="M79" s="52">
        <v>26047</v>
      </c>
      <c r="N79" s="52">
        <v>26135</v>
      </c>
      <c r="O79" s="52">
        <v>24241</v>
      </c>
      <c r="P79" s="52">
        <v>25007</v>
      </c>
      <c r="Q79" s="52">
        <v>25912</v>
      </c>
      <c r="R79" s="52">
        <v>25897</v>
      </c>
      <c r="S79" s="52">
        <v>26374</v>
      </c>
      <c r="T79" s="52">
        <v>26801</v>
      </c>
      <c r="U79" s="52">
        <v>26904</v>
      </c>
      <c r="V79" s="52">
        <v>27160</v>
      </c>
      <c r="W79" s="52">
        <v>27654</v>
      </c>
      <c r="X79" s="52">
        <v>27904</v>
      </c>
      <c r="Y79" s="52">
        <v>27906</v>
      </c>
      <c r="Z79" s="52">
        <v>25041</v>
      </c>
      <c r="AA79" s="52">
        <v>28702</v>
      </c>
      <c r="AB79" s="52">
        <v>27688</v>
      </c>
      <c r="AC79" s="52">
        <v>26823</v>
      </c>
      <c r="AD79"/>
    </row>
    <row r="80" spans="1:30" x14ac:dyDescent="0.2">
      <c r="A80" s="45" t="s">
        <v>86</v>
      </c>
      <c r="B80" s="45" t="s">
        <v>309</v>
      </c>
      <c r="C80" s="45" t="s">
        <v>308</v>
      </c>
      <c r="D80" s="44">
        <v>27767</v>
      </c>
      <c r="E80" s="44">
        <v>28474</v>
      </c>
      <c r="F80" s="44">
        <v>28484</v>
      </c>
      <c r="G80" s="44">
        <v>28784</v>
      </c>
      <c r="H80" s="44">
        <v>28745</v>
      </c>
      <c r="I80" s="44">
        <v>29116</v>
      </c>
      <c r="J80" s="44">
        <v>29689</v>
      </c>
      <c r="K80" s="44">
        <v>29950</v>
      </c>
      <c r="L80" s="44">
        <v>29880</v>
      </c>
      <c r="M80" s="44">
        <v>30327</v>
      </c>
      <c r="N80" s="44">
        <v>30349</v>
      </c>
      <c r="O80" s="44">
        <v>28005</v>
      </c>
      <c r="P80" s="44">
        <v>28457</v>
      </c>
      <c r="Q80" s="44">
        <v>29208</v>
      </c>
      <c r="R80" s="44">
        <v>29373</v>
      </c>
      <c r="S80" s="44">
        <v>29656</v>
      </c>
      <c r="T80" s="44">
        <v>29838</v>
      </c>
      <c r="U80" s="44">
        <v>29365</v>
      </c>
      <c r="V80" s="44">
        <v>30702</v>
      </c>
      <c r="W80" s="44">
        <v>31184</v>
      </c>
      <c r="X80" s="44">
        <v>31628</v>
      </c>
      <c r="Y80" s="44">
        <v>32019</v>
      </c>
      <c r="Z80" s="44">
        <v>30699</v>
      </c>
      <c r="AA80" s="44">
        <v>34183</v>
      </c>
      <c r="AB80" s="44">
        <v>32846</v>
      </c>
      <c r="AC80" s="44">
        <v>30631</v>
      </c>
      <c r="AD80"/>
    </row>
    <row r="81" spans="1:30" x14ac:dyDescent="0.2">
      <c r="A81" s="45" t="s">
        <v>86</v>
      </c>
      <c r="B81" s="45" t="s">
        <v>307</v>
      </c>
      <c r="C81" s="45" t="s">
        <v>306</v>
      </c>
      <c r="D81" s="44">
        <v>23458</v>
      </c>
      <c r="E81" s="44">
        <v>23628</v>
      </c>
      <c r="F81" s="44">
        <v>24110</v>
      </c>
      <c r="G81" s="44">
        <v>24303</v>
      </c>
      <c r="H81" s="44">
        <v>25033</v>
      </c>
      <c r="I81" s="44">
        <v>25309</v>
      </c>
      <c r="J81" s="44">
        <v>25693</v>
      </c>
      <c r="K81" s="44">
        <v>25961</v>
      </c>
      <c r="L81" s="44">
        <v>26225</v>
      </c>
      <c r="M81" s="44">
        <v>25496</v>
      </c>
      <c r="N81" s="44">
        <v>25607</v>
      </c>
      <c r="O81" s="44">
        <v>23897</v>
      </c>
      <c r="P81" s="44">
        <v>24231</v>
      </c>
      <c r="Q81" s="44">
        <v>24827</v>
      </c>
      <c r="R81" s="44">
        <v>24656</v>
      </c>
      <c r="S81" s="44">
        <v>25281</v>
      </c>
      <c r="T81" s="44">
        <v>26004</v>
      </c>
      <c r="U81" s="44">
        <v>25613</v>
      </c>
      <c r="V81" s="44">
        <v>26072</v>
      </c>
      <c r="W81" s="44">
        <v>25995</v>
      </c>
      <c r="X81" s="44">
        <v>26301</v>
      </c>
      <c r="Y81" s="44">
        <v>25780</v>
      </c>
      <c r="Z81" s="44">
        <v>22853</v>
      </c>
      <c r="AA81" s="44">
        <v>25975</v>
      </c>
      <c r="AB81" s="44">
        <v>25840</v>
      </c>
      <c r="AC81" s="44">
        <v>25296</v>
      </c>
      <c r="AD81"/>
    </row>
    <row r="82" spans="1:30" x14ac:dyDescent="0.2">
      <c r="A82" s="45" t="s">
        <v>86</v>
      </c>
      <c r="B82" s="45" t="s">
        <v>305</v>
      </c>
      <c r="C82" s="45" t="s">
        <v>304</v>
      </c>
      <c r="D82" s="44">
        <v>17515</v>
      </c>
      <c r="E82" s="44">
        <v>18023</v>
      </c>
      <c r="F82" s="44">
        <v>18858</v>
      </c>
      <c r="G82" s="44">
        <v>19529</v>
      </c>
      <c r="H82" s="44">
        <v>19905</v>
      </c>
      <c r="I82" s="44">
        <v>20520</v>
      </c>
      <c r="J82" s="44">
        <v>21499</v>
      </c>
      <c r="K82" s="44">
        <v>21803</v>
      </c>
      <c r="L82" s="44">
        <v>22369</v>
      </c>
      <c r="M82" s="44">
        <v>22458</v>
      </c>
      <c r="N82" s="44">
        <v>22822</v>
      </c>
      <c r="O82" s="44">
        <v>21787</v>
      </c>
      <c r="P82" s="44">
        <v>22643</v>
      </c>
      <c r="Q82" s="44">
        <v>23669</v>
      </c>
      <c r="R82" s="44">
        <v>23929</v>
      </c>
      <c r="S82" s="44">
        <v>24553</v>
      </c>
      <c r="T82" s="44">
        <v>24703</v>
      </c>
      <c r="U82" s="44">
        <v>25144</v>
      </c>
      <c r="V82" s="44">
        <v>24892</v>
      </c>
      <c r="W82" s="44">
        <v>26081</v>
      </c>
      <c r="X82" s="44">
        <v>27556</v>
      </c>
      <c r="Y82" s="44">
        <v>27772</v>
      </c>
      <c r="Z82" s="44">
        <v>25313</v>
      </c>
      <c r="AA82" s="44">
        <v>29010</v>
      </c>
      <c r="AB82" s="44">
        <v>27536</v>
      </c>
      <c r="AC82" s="44">
        <v>27389</v>
      </c>
      <c r="AD82"/>
    </row>
    <row r="83" spans="1:30" x14ac:dyDescent="0.2">
      <c r="A83" s="45" t="s">
        <v>86</v>
      </c>
      <c r="B83" s="45" t="s">
        <v>303</v>
      </c>
      <c r="C83" s="45" t="s">
        <v>302</v>
      </c>
      <c r="D83" s="44">
        <v>23731</v>
      </c>
      <c r="E83" s="44">
        <v>24069</v>
      </c>
      <c r="F83" s="44">
        <v>24527</v>
      </c>
      <c r="G83" s="44">
        <v>24939</v>
      </c>
      <c r="H83" s="44">
        <v>25607</v>
      </c>
      <c r="I83" s="44">
        <v>26069</v>
      </c>
      <c r="J83" s="44">
        <v>26896</v>
      </c>
      <c r="K83" s="44">
        <v>27055</v>
      </c>
      <c r="L83" s="44">
        <v>27518</v>
      </c>
      <c r="M83" s="44">
        <v>26979</v>
      </c>
      <c r="N83" s="44">
        <v>26860</v>
      </c>
      <c r="O83" s="44">
        <v>24678</v>
      </c>
      <c r="P83" s="44">
        <v>25695</v>
      </c>
      <c r="Q83" s="44">
        <v>26483</v>
      </c>
      <c r="R83" s="44">
        <v>26289</v>
      </c>
      <c r="S83" s="44">
        <v>26709</v>
      </c>
      <c r="T83" s="44">
        <v>27082</v>
      </c>
      <c r="U83" s="44">
        <v>27468</v>
      </c>
      <c r="V83" s="44">
        <v>27571</v>
      </c>
      <c r="W83" s="44">
        <v>28059</v>
      </c>
      <c r="X83" s="44">
        <v>27877</v>
      </c>
      <c r="Y83" s="44">
        <v>27941</v>
      </c>
      <c r="Z83" s="44">
        <v>24671</v>
      </c>
      <c r="AA83" s="44">
        <v>28507</v>
      </c>
      <c r="AB83" s="44">
        <v>27316</v>
      </c>
      <c r="AC83" s="44">
        <v>26436</v>
      </c>
      <c r="AD83"/>
    </row>
    <row r="84" spans="1:30" x14ac:dyDescent="0.2">
      <c r="A84" s="49" t="s">
        <v>87</v>
      </c>
      <c r="B84" s="49" t="s">
        <v>301</v>
      </c>
      <c r="C84" s="49" t="s">
        <v>300</v>
      </c>
      <c r="D84" s="52">
        <v>24410</v>
      </c>
      <c r="E84" s="52">
        <v>25367</v>
      </c>
      <c r="F84" s="52">
        <v>26088</v>
      </c>
      <c r="G84" s="52">
        <v>27194</v>
      </c>
      <c r="H84" s="52">
        <v>27055</v>
      </c>
      <c r="I84" s="52">
        <v>27531</v>
      </c>
      <c r="J84" s="52">
        <v>27979</v>
      </c>
      <c r="K84" s="52">
        <v>28100</v>
      </c>
      <c r="L84" s="52">
        <v>28098</v>
      </c>
      <c r="M84" s="52">
        <v>28531</v>
      </c>
      <c r="N84" s="52">
        <v>27727</v>
      </c>
      <c r="O84" s="52">
        <v>25660</v>
      </c>
      <c r="P84" s="52">
        <v>26565</v>
      </c>
      <c r="Q84" s="52">
        <v>27017</v>
      </c>
      <c r="R84" s="52">
        <v>27172</v>
      </c>
      <c r="S84" s="52">
        <v>27301</v>
      </c>
      <c r="T84" s="52">
        <v>28028</v>
      </c>
      <c r="U84" s="52">
        <v>28519</v>
      </c>
      <c r="V84" s="52">
        <v>29353</v>
      </c>
      <c r="W84" s="52">
        <v>29636</v>
      </c>
      <c r="X84" s="52">
        <v>29797</v>
      </c>
      <c r="Y84" s="52">
        <v>29472</v>
      </c>
      <c r="Z84" s="52">
        <v>25572</v>
      </c>
      <c r="AA84" s="52">
        <v>28302</v>
      </c>
      <c r="AB84" s="52">
        <v>28960</v>
      </c>
      <c r="AC84" s="52">
        <v>28604</v>
      </c>
      <c r="AD84"/>
    </row>
    <row r="85" spans="1:30" x14ac:dyDescent="0.2">
      <c r="A85" s="45" t="s">
        <v>86</v>
      </c>
      <c r="B85" s="45" t="s">
        <v>299</v>
      </c>
      <c r="C85" s="45" t="s">
        <v>298</v>
      </c>
      <c r="D85" s="44">
        <v>25422</v>
      </c>
      <c r="E85" s="44">
        <v>26177</v>
      </c>
      <c r="F85" s="44">
        <v>27035</v>
      </c>
      <c r="G85" s="44">
        <v>27970</v>
      </c>
      <c r="H85" s="44">
        <v>28039</v>
      </c>
      <c r="I85" s="44">
        <v>28668</v>
      </c>
      <c r="J85" s="44">
        <v>29493</v>
      </c>
      <c r="K85" s="44">
        <v>29685</v>
      </c>
      <c r="L85" s="44">
        <v>29482</v>
      </c>
      <c r="M85" s="44">
        <v>30273</v>
      </c>
      <c r="N85" s="44">
        <v>29506</v>
      </c>
      <c r="O85" s="44">
        <v>27502</v>
      </c>
      <c r="P85" s="44">
        <v>28012</v>
      </c>
      <c r="Q85" s="44">
        <v>28186</v>
      </c>
      <c r="R85" s="44">
        <v>28282</v>
      </c>
      <c r="S85" s="44">
        <v>28582</v>
      </c>
      <c r="T85" s="44">
        <v>29095</v>
      </c>
      <c r="U85" s="44">
        <v>29445</v>
      </c>
      <c r="V85" s="44">
        <v>29868</v>
      </c>
      <c r="W85" s="44">
        <v>30062</v>
      </c>
      <c r="X85" s="44">
        <v>30622</v>
      </c>
      <c r="Y85" s="44">
        <v>30473</v>
      </c>
      <c r="Z85" s="44">
        <v>26509</v>
      </c>
      <c r="AA85" s="44">
        <v>29572</v>
      </c>
      <c r="AB85" s="44">
        <v>30629</v>
      </c>
      <c r="AC85" s="44">
        <v>30779</v>
      </c>
      <c r="AD85"/>
    </row>
    <row r="86" spans="1:30" x14ac:dyDescent="0.2">
      <c r="A86" s="45" t="s">
        <v>86</v>
      </c>
      <c r="B86" s="45" t="s">
        <v>297</v>
      </c>
      <c r="C86" s="45" t="s">
        <v>296</v>
      </c>
      <c r="D86" s="44">
        <v>34960</v>
      </c>
      <c r="E86" s="44">
        <v>36112</v>
      </c>
      <c r="F86" s="44">
        <v>37805</v>
      </c>
      <c r="G86" s="44">
        <v>40889</v>
      </c>
      <c r="H86" s="44">
        <v>39729</v>
      </c>
      <c r="I86" s="44">
        <v>40677</v>
      </c>
      <c r="J86" s="44">
        <v>41099</v>
      </c>
      <c r="K86" s="44">
        <v>41536</v>
      </c>
      <c r="L86" s="44">
        <v>41842</v>
      </c>
      <c r="M86" s="44">
        <v>42449</v>
      </c>
      <c r="N86" s="44">
        <v>40901</v>
      </c>
      <c r="O86" s="44">
        <v>37114</v>
      </c>
      <c r="P86" s="44">
        <v>39263</v>
      </c>
      <c r="Q86" s="44">
        <v>40982</v>
      </c>
      <c r="R86" s="44">
        <v>41085</v>
      </c>
      <c r="S86" s="44">
        <v>41066</v>
      </c>
      <c r="T86" s="44">
        <v>42408</v>
      </c>
      <c r="U86" s="44">
        <v>45683</v>
      </c>
      <c r="V86" s="44">
        <v>48671</v>
      </c>
      <c r="W86" s="44">
        <v>52077</v>
      </c>
      <c r="X86" s="44">
        <v>52382</v>
      </c>
      <c r="Y86" s="44">
        <v>51952</v>
      </c>
      <c r="Z86" s="44">
        <v>44026</v>
      </c>
      <c r="AA86" s="44">
        <v>46331</v>
      </c>
      <c r="AB86" s="44">
        <v>49512</v>
      </c>
      <c r="AC86" s="44">
        <v>49283</v>
      </c>
      <c r="AD86"/>
    </row>
    <row r="87" spans="1:30" x14ac:dyDescent="0.2">
      <c r="A87" s="45" t="s">
        <v>86</v>
      </c>
      <c r="B87" s="45" t="s">
        <v>295</v>
      </c>
      <c r="C87" s="45" t="s">
        <v>294</v>
      </c>
      <c r="D87" s="44">
        <v>29742</v>
      </c>
      <c r="E87" s="44">
        <v>30626</v>
      </c>
      <c r="F87" s="44">
        <v>31899</v>
      </c>
      <c r="G87" s="44">
        <v>33067</v>
      </c>
      <c r="H87" s="44">
        <v>32755</v>
      </c>
      <c r="I87" s="44">
        <v>33364</v>
      </c>
      <c r="J87" s="44">
        <v>34119</v>
      </c>
      <c r="K87" s="44">
        <v>35007</v>
      </c>
      <c r="L87" s="44">
        <v>34032</v>
      </c>
      <c r="M87" s="44">
        <v>35465</v>
      </c>
      <c r="N87" s="44">
        <v>35218</v>
      </c>
      <c r="O87" s="44">
        <v>33004</v>
      </c>
      <c r="P87" s="44">
        <v>34237</v>
      </c>
      <c r="Q87" s="44">
        <v>34189</v>
      </c>
      <c r="R87" s="44">
        <v>34005</v>
      </c>
      <c r="S87" s="44">
        <v>33493</v>
      </c>
      <c r="T87" s="44">
        <v>35151</v>
      </c>
      <c r="U87" s="44">
        <v>36261</v>
      </c>
      <c r="V87" s="44">
        <v>37974</v>
      </c>
      <c r="W87" s="44">
        <v>36435</v>
      </c>
      <c r="X87" s="44">
        <v>36094</v>
      </c>
      <c r="Y87" s="44">
        <v>35747</v>
      </c>
      <c r="Z87" s="44">
        <v>30697</v>
      </c>
      <c r="AA87" s="44">
        <v>33991</v>
      </c>
      <c r="AB87" s="44">
        <v>33728</v>
      </c>
      <c r="AC87" s="44">
        <v>32977</v>
      </c>
      <c r="AD87"/>
    </row>
    <row r="88" spans="1:30" x14ac:dyDescent="0.2">
      <c r="A88" s="45" t="s">
        <v>86</v>
      </c>
      <c r="B88" s="45" t="s">
        <v>293</v>
      </c>
      <c r="C88" s="45" t="s">
        <v>292</v>
      </c>
      <c r="D88" s="44">
        <v>18782</v>
      </c>
      <c r="E88" s="44">
        <v>19567</v>
      </c>
      <c r="F88" s="44">
        <v>20118</v>
      </c>
      <c r="G88" s="44">
        <v>20922</v>
      </c>
      <c r="H88" s="44">
        <v>21016</v>
      </c>
      <c r="I88" s="44">
        <v>20953</v>
      </c>
      <c r="J88" s="44">
        <v>21316</v>
      </c>
      <c r="K88" s="44">
        <v>21233</v>
      </c>
      <c r="L88" s="44">
        <v>21612</v>
      </c>
      <c r="M88" s="44">
        <v>21636</v>
      </c>
      <c r="N88" s="44">
        <v>20668</v>
      </c>
      <c r="O88" s="44">
        <v>18979</v>
      </c>
      <c r="P88" s="44">
        <v>19944</v>
      </c>
      <c r="Q88" s="44">
        <v>20488</v>
      </c>
      <c r="R88" s="44">
        <v>20972</v>
      </c>
      <c r="S88" s="44">
        <v>20961</v>
      </c>
      <c r="T88" s="44">
        <v>21015</v>
      </c>
      <c r="U88" s="44">
        <v>20985</v>
      </c>
      <c r="V88" s="44">
        <v>21330</v>
      </c>
      <c r="W88" s="44">
        <v>21689</v>
      </c>
      <c r="X88" s="44">
        <v>21374</v>
      </c>
      <c r="Y88" s="44">
        <v>21279</v>
      </c>
      <c r="Z88" s="44">
        <v>18373</v>
      </c>
      <c r="AA88" s="44">
        <v>20814</v>
      </c>
      <c r="AB88" s="44">
        <v>21082</v>
      </c>
      <c r="AC88" s="44">
        <v>19977</v>
      </c>
      <c r="AD88"/>
    </row>
    <row r="89" spans="1:30" x14ac:dyDescent="0.2">
      <c r="A89" s="45" t="s">
        <v>86</v>
      </c>
      <c r="B89" s="45" t="s">
        <v>291</v>
      </c>
      <c r="C89" s="45" t="s">
        <v>290</v>
      </c>
      <c r="D89" s="44">
        <v>24622</v>
      </c>
      <c r="E89" s="44">
        <v>25745</v>
      </c>
      <c r="F89" s="44">
        <v>25778</v>
      </c>
      <c r="G89" s="44">
        <v>26760</v>
      </c>
      <c r="H89" s="44">
        <v>26559</v>
      </c>
      <c r="I89" s="44">
        <v>27021</v>
      </c>
      <c r="J89" s="44">
        <v>26672</v>
      </c>
      <c r="K89" s="44">
        <v>26020</v>
      </c>
      <c r="L89" s="44">
        <v>26221</v>
      </c>
      <c r="M89" s="44">
        <v>25179</v>
      </c>
      <c r="N89" s="44">
        <v>23760</v>
      </c>
      <c r="O89" s="44">
        <v>21809</v>
      </c>
      <c r="P89" s="44">
        <v>22393</v>
      </c>
      <c r="Q89" s="44">
        <v>22167</v>
      </c>
      <c r="R89" s="44">
        <v>22210</v>
      </c>
      <c r="S89" s="44">
        <v>22143</v>
      </c>
      <c r="T89" s="44">
        <v>23255</v>
      </c>
      <c r="U89" s="44">
        <v>23772</v>
      </c>
      <c r="V89" s="44">
        <v>24392</v>
      </c>
      <c r="W89" s="44">
        <v>24646</v>
      </c>
      <c r="X89" s="44">
        <v>24778</v>
      </c>
      <c r="Y89" s="44">
        <v>23729</v>
      </c>
      <c r="Z89" s="44">
        <v>21800</v>
      </c>
      <c r="AA89" s="44">
        <v>22979</v>
      </c>
      <c r="AB89" s="44">
        <v>22558</v>
      </c>
      <c r="AC89" s="44">
        <v>22187</v>
      </c>
      <c r="AD89"/>
    </row>
    <row r="90" spans="1:30" x14ac:dyDescent="0.2">
      <c r="A90" s="45" t="s">
        <v>86</v>
      </c>
      <c r="B90" s="45" t="s">
        <v>289</v>
      </c>
      <c r="C90" s="45" t="s">
        <v>288</v>
      </c>
      <c r="D90" s="44">
        <v>19678</v>
      </c>
      <c r="E90" s="44">
        <v>20089</v>
      </c>
      <c r="F90" s="44">
        <v>20527</v>
      </c>
      <c r="G90" s="44">
        <v>20667</v>
      </c>
      <c r="H90" s="44">
        <v>20615</v>
      </c>
      <c r="I90" s="44">
        <v>20776</v>
      </c>
      <c r="J90" s="44">
        <v>21113</v>
      </c>
      <c r="K90" s="44">
        <v>21161</v>
      </c>
      <c r="L90" s="44">
        <v>21250</v>
      </c>
      <c r="M90" s="44">
        <v>21117</v>
      </c>
      <c r="N90" s="44">
        <v>20289</v>
      </c>
      <c r="O90" s="44">
        <v>18673</v>
      </c>
      <c r="P90" s="44">
        <v>19449</v>
      </c>
      <c r="Q90" s="44">
        <v>20250</v>
      </c>
      <c r="R90" s="44">
        <v>20707</v>
      </c>
      <c r="S90" s="44">
        <v>21345</v>
      </c>
      <c r="T90" s="44">
        <v>22295</v>
      </c>
      <c r="U90" s="44">
        <v>22331</v>
      </c>
      <c r="V90" s="44">
        <v>22793</v>
      </c>
      <c r="W90" s="44">
        <v>22562</v>
      </c>
      <c r="X90" s="44">
        <v>21992</v>
      </c>
      <c r="Y90" s="44">
        <v>21210</v>
      </c>
      <c r="Z90" s="44">
        <v>18368</v>
      </c>
      <c r="AA90" s="44">
        <v>20821</v>
      </c>
      <c r="AB90" s="44">
        <v>20717</v>
      </c>
      <c r="AC90" s="44">
        <v>20326</v>
      </c>
      <c r="AD90"/>
    </row>
    <row r="91" spans="1:30" x14ac:dyDescent="0.2">
      <c r="A91" s="45" t="s">
        <v>86</v>
      </c>
      <c r="B91" s="45" t="s">
        <v>287</v>
      </c>
      <c r="C91" s="45" t="s">
        <v>286</v>
      </c>
      <c r="D91" s="44">
        <v>23564</v>
      </c>
      <c r="E91" s="44">
        <v>24548</v>
      </c>
      <c r="F91" s="44">
        <v>25388</v>
      </c>
      <c r="G91" s="44">
        <v>26176</v>
      </c>
      <c r="H91" s="44">
        <v>26156</v>
      </c>
      <c r="I91" s="44">
        <v>26190</v>
      </c>
      <c r="J91" s="44">
        <v>26706</v>
      </c>
      <c r="K91" s="44">
        <v>26846</v>
      </c>
      <c r="L91" s="44">
        <v>27132</v>
      </c>
      <c r="M91" s="44">
        <v>26940</v>
      </c>
      <c r="N91" s="44">
        <v>26101</v>
      </c>
      <c r="O91" s="44">
        <v>24045</v>
      </c>
      <c r="P91" s="44">
        <v>24544</v>
      </c>
      <c r="Q91" s="44">
        <v>25196</v>
      </c>
      <c r="R91" s="44">
        <v>24588</v>
      </c>
      <c r="S91" s="44">
        <v>24294</v>
      </c>
      <c r="T91" s="44">
        <v>24290</v>
      </c>
      <c r="U91" s="44">
        <v>23110</v>
      </c>
      <c r="V91" s="44">
        <v>24137</v>
      </c>
      <c r="W91" s="44">
        <v>25100</v>
      </c>
      <c r="X91" s="44">
        <v>25602</v>
      </c>
      <c r="Y91" s="44">
        <v>25647</v>
      </c>
      <c r="Z91" s="44">
        <v>21996</v>
      </c>
      <c r="AA91" s="44">
        <v>25110</v>
      </c>
      <c r="AB91" s="44">
        <v>25381</v>
      </c>
      <c r="AC91" s="44">
        <v>24471</v>
      </c>
      <c r="AD91"/>
    </row>
    <row r="92" spans="1:30" x14ac:dyDescent="0.2">
      <c r="A92" s="51" t="s">
        <v>88</v>
      </c>
      <c r="B92" s="51" t="s">
        <v>285</v>
      </c>
      <c r="C92" s="51" t="s">
        <v>284</v>
      </c>
      <c r="D92" s="57">
        <v>25152</v>
      </c>
      <c r="E92" s="57">
        <v>25972</v>
      </c>
      <c r="F92" s="57">
        <v>27248</v>
      </c>
      <c r="G92" s="57">
        <v>27921</v>
      </c>
      <c r="H92" s="57">
        <v>28057</v>
      </c>
      <c r="I92" s="57">
        <v>28914</v>
      </c>
      <c r="J92" s="57">
        <v>29122</v>
      </c>
      <c r="K92" s="57">
        <v>29896</v>
      </c>
      <c r="L92" s="57">
        <v>30421</v>
      </c>
      <c r="M92" s="57">
        <v>30705</v>
      </c>
      <c r="N92" s="57">
        <v>30419</v>
      </c>
      <c r="O92" s="57">
        <v>28569</v>
      </c>
      <c r="P92" s="57">
        <v>29198</v>
      </c>
      <c r="Q92" s="57">
        <v>29310</v>
      </c>
      <c r="R92" s="57">
        <v>29473</v>
      </c>
      <c r="S92" s="57">
        <v>29942</v>
      </c>
      <c r="T92" s="57">
        <v>30916</v>
      </c>
      <c r="U92" s="57">
        <v>31220</v>
      </c>
      <c r="V92" s="57">
        <v>31604</v>
      </c>
      <c r="W92" s="57">
        <v>32971</v>
      </c>
      <c r="X92" s="57">
        <v>32804</v>
      </c>
      <c r="Y92" s="57">
        <v>33213</v>
      </c>
      <c r="Z92" s="57">
        <v>29416</v>
      </c>
      <c r="AA92" s="57">
        <v>32202</v>
      </c>
      <c r="AB92" s="57">
        <v>33120</v>
      </c>
      <c r="AC92" s="57">
        <v>32677</v>
      </c>
      <c r="AD92"/>
    </row>
    <row r="93" spans="1:30" x14ac:dyDescent="0.2">
      <c r="A93" s="49" t="s">
        <v>87</v>
      </c>
      <c r="B93" s="49" t="s">
        <v>283</v>
      </c>
      <c r="C93" s="49" t="s">
        <v>282</v>
      </c>
      <c r="D93" s="52">
        <v>27043</v>
      </c>
      <c r="E93" s="52">
        <v>28156</v>
      </c>
      <c r="F93" s="52">
        <v>29724</v>
      </c>
      <c r="G93" s="52">
        <v>30169</v>
      </c>
      <c r="H93" s="52">
        <v>30261</v>
      </c>
      <c r="I93" s="52">
        <v>31198</v>
      </c>
      <c r="J93" s="52">
        <v>31744</v>
      </c>
      <c r="K93" s="52">
        <v>32953</v>
      </c>
      <c r="L93" s="52">
        <v>33189</v>
      </c>
      <c r="M93" s="52">
        <v>33614</v>
      </c>
      <c r="N93" s="52">
        <v>33644</v>
      </c>
      <c r="O93" s="52">
        <v>30976</v>
      </c>
      <c r="P93" s="52">
        <v>31208</v>
      </c>
      <c r="Q93" s="52">
        <v>31113</v>
      </c>
      <c r="R93" s="52">
        <v>31021</v>
      </c>
      <c r="S93" s="52">
        <v>32214</v>
      </c>
      <c r="T93" s="52">
        <v>33764</v>
      </c>
      <c r="U93" s="52">
        <v>34436</v>
      </c>
      <c r="V93" s="52">
        <v>34758</v>
      </c>
      <c r="W93" s="52">
        <v>36731</v>
      </c>
      <c r="X93" s="52">
        <v>36550</v>
      </c>
      <c r="Y93" s="52">
        <v>36908</v>
      </c>
      <c r="Z93" s="52">
        <v>32469</v>
      </c>
      <c r="AA93" s="52">
        <v>35801</v>
      </c>
      <c r="AB93" s="52">
        <v>36825</v>
      </c>
      <c r="AC93" s="52">
        <v>36410</v>
      </c>
      <c r="AD93"/>
    </row>
    <row r="94" spans="1:30" x14ac:dyDescent="0.2">
      <c r="A94" s="45" t="s">
        <v>86</v>
      </c>
      <c r="B94" s="45" t="s">
        <v>281</v>
      </c>
      <c r="C94" s="45" t="s">
        <v>280</v>
      </c>
      <c r="D94" s="44">
        <v>20886</v>
      </c>
      <c r="E94" s="44">
        <v>21474</v>
      </c>
      <c r="F94" s="44">
        <v>23645</v>
      </c>
      <c r="G94" s="44">
        <v>23878</v>
      </c>
      <c r="H94" s="44">
        <v>23768</v>
      </c>
      <c r="I94" s="44">
        <v>24620</v>
      </c>
      <c r="J94" s="44">
        <v>25139</v>
      </c>
      <c r="K94" s="44">
        <v>25584</v>
      </c>
      <c r="L94" s="44">
        <v>26580</v>
      </c>
      <c r="M94" s="44">
        <v>27579</v>
      </c>
      <c r="N94" s="44">
        <v>27555</v>
      </c>
      <c r="O94" s="44">
        <v>24832</v>
      </c>
      <c r="P94" s="44">
        <v>24664</v>
      </c>
      <c r="Q94" s="44">
        <v>24464</v>
      </c>
      <c r="R94" s="44">
        <v>24615</v>
      </c>
      <c r="S94" s="44">
        <v>26283</v>
      </c>
      <c r="T94" s="44">
        <v>28128</v>
      </c>
      <c r="U94" s="44">
        <v>27910</v>
      </c>
      <c r="V94" s="44">
        <v>27766</v>
      </c>
      <c r="W94" s="44">
        <v>29138</v>
      </c>
      <c r="X94" s="44">
        <v>29162</v>
      </c>
      <c r="Y94" s="44">
        <v>29366</v>
      </c>
      <c r="Z94" s="44">
        <v>21004</v>
      </c>
      <c r="AA94" s="44">
        <v>23369</v>
      </c>
      <c r="AB94" s="44">
        <v>31250</v>
      </c>
      <c r="AC94" s="44">
        <v>32089</v>
      </c>
      <c r="AD94"/>
    </row>
    <row r="95" spans="1:30" x14ac:dyDescent="0.2">
      <c r="A95" s="45" t="s">
        <v>86</v>
      </c>
      <c r="B95" s="45" t="s">
        <v>279</v>
      </c>
      <c r="C95" s="45" t="s">
        <v>278</v>
      </c>
      <c r="D95" s="44">
        <v>27064</v>
      </c>
      <c r="E95" s="44">
        <v>28188</v>
      </c>
      <c r="F95" s="44">
        <v>28753</v>
      </c>
      <c r="G95" s="44">
        <v>29561</v>
      </c>
      <c r="H95" s="44">
        <v>29358</v>
      </c>
      <c r="I95" s="44">
        <v>29800</v>
      </c>
      <c r="J95" s="44">
        <v>29811</v>
      </c>
      <c r="K95" s="44">
        <v>30797</v>
      </c>
      <c r="L95" s="44">
        <v>30953</v>
      </c>
      <c r="M95" s="44">
        <v>30536</v>
      </c>
      <c r="N95" s="44">
        <v>30179</v>
      </c>
      <c r="O95" s="44">
        <v>28179</v>
      </c>
      <c r="P95" s="44">
        <v>28122</v>
      </c>
      <c r="Q95" s="44">
        <v>27863</v>
      </c>
      <c r="R95" s="44">
        <v>27584</v>
      </c>
      <c r="S95" s="44">
        <v>27731</v>
      </c>
      <c r="T95" s="44">
        <v>28527</v>
      </c>
      <c r="U95" s="44">
        <v>28971</v>
      </c>
      <c r="V95" s="44">
        <v>29349</v>
      </c>
      <c r="W95" s="44">
        <v>30533</v>
      </c>
      <c r="X95" s="44">
        <v>29861</v>
      </c>
      <c r="Y95" s="44">
        <v>30139</v>
      </c>
      <c r="Z95" s="44">
        <v>25357</v>
      </c>
      <c r="AA95" s="44">
        <v>28649</v>
      </c>
      <c r="AB95" s="44">
        <v>29447</v>
      </c>
      <c r="AC95" s="44">
        <v>28176</v>
      </c>
      <c r="AD95"/>
    </row>
    <row r="96" spans="1:30" x14ac:dyDescent="0.2">
      <c r="A96" s="45" t="s">
        <v>86</v>
      </c>
      <c r="B96" s="45" t="s">
        <v>277</v>
      </c>
      <c r="C96" s="45" t="s">
        <v>276</v>
      </c>
      <c r="D96" s="44">
        <v>24988</v>
      </c>
      <c r="E96" s="44">
        <v>25503</v>
      </c>
      <c r="F96" s="44">
        <v>26450</v>
      </c>
      <c r="G96" s="44">
        <v>26555</v>
      </c>
      <c r="H96" s="44">
        <v>26551</v>
      </c>
      <c r="I96" s="44">
        <v>26711</v>
      </c>
      <c r="J96" s="44">
        <v>26581</v>
      </c>
      <c r="K96" s="44">
        <v>26945</v>
      </c>
      <c r="L96" s="44">
        <v>26731</v>
      </c>
      <c r="M96" s="44">
        <v>26110</v>
      </c>
      <c r="N96" s="44">
        <v>25695</v>
      </c>
      <c r="O96" s="44">
        <v>23960</v>
      </c>
      <c r="P96" s="44">
        <v>24761</v>
      </c>
      <c r="Q96" s="44">
        <v>25067</v>
      </c>
      <c r="R96" s="44">
        <v>25018</v>
      </c>
      <c r="S96" s="44">
        <v>26090</v>
      </c>
      <c r="T96" s="44">
        <v>26792</v>
      </c>
      <c r="U96" s="44">
        <v>26712</v>
      </c>
      <c r="V96" s="44">
        <v>27547</v>
      </c>
      <c r="W96" s="44">
        <v>29030</v>
      </c>
      <c r="X96" s="44">
        <v>28362</v>
      </c>
      <c r="Y96" s="44">
        <v>27309</v>
      </c>
      <c r="Z96" s="44">
        <v>23248</v>
      </c>
      <c r="AA96" s="44">
        <v>25219</v>
      </c>
      <c r="AB96" s="44">
        <v>25646</v>
      </c>
      <c r="AC96" s="44">
        <v>25532</v>
      </c>
      <c r="AD96"/>
    </row>
    <row r="97" spans="1:30" x14ac:dyDescent="0.2">
      <c r="A97" s="45" t="s">
        <v>86</v>
      </c>
      <c r="B97" s="45" t="s">
        <v>275</v>
      </c>
      <c r="C97" s="45" t="s">
        <v>274</v>
      </c>
      <c r="D97" s="44">
        <v>26358</v>
      </c>
      <c r="E97" s="44">
        <v>28226</v>
      </c>
      <c r="F97" s="44">
        <v>29916</v>
      </c>
      <c r="G97" s="44">
        <v>30322</v>
      </c>
      <c r="H97" s="44">
        <v>30523</v>
      </c>
      <c r="I97" s="44">
        <v>31795</v>
      </c>
      <c r="J97" s="44">
        <v>32464</v>
      </c>
      <c r="K97" s="44">
        <v>34428</v>
      </c>
      <c r="L97" s="44">
        <v>35064</v>
      </c>
      <c r="M97" s="44">
        <v>35410</v>
      </c>
      <c r="N97" s="44">
        <v>35992</v>
      </c>
      <c r="O97" s="44">
        <v>32666</v>
      </c>
      <c r="P97" s="44">
        <v>32392</v>
      </c>
      <c r="Q97" s="44">
        <v>31508</v>
      </c>
      <c r="R97" s="44">
        <v>31338</v>
      </c>
      <c r="S97" s="44">
        <v>32307</v>
      </c>
      <c r="T97" s="44">
        <v>34054</v>
      </c>
      <c r="U97" s="44">
        <v>34185</v>
      </c>
      <c r="V97" s="44">
        <v>33886</v>
      </c>
      <c r="W97" s="44">
        <v>35288</v>
      </c>
      <c r="X97" s="44">
        <v>35606</v>
      </c>
      <c r="Y97" s="44">
        <v>37322</v>
      </c>
      <c r="Z97" s="44">
        <v>34908</v>
      </c>
      <c r="AA97" s="44">
        <v>38625</v>
      </c>
      <c r="AB97" s="44">
        <v>37677</v>
      </c>
      <c r="AC97" s="44">
        <v>37894</v>
      </c>
      <c r="AD97"/>
    </row>
    <row r="98" spans="1:30" x14ac:dyDescent="0.2">
      <c r="A98" s="45" t="s">
        <v>86</v>
      </c>
      <c r="B98" s="45" t="s">
        <v>273</v>
      </c>
      <c r="C98" s="45" t="s">
        <v>272</v>
      </c>
      <c r="D98" s="44">
        <v>32488</v>
      </c>
      <c r="E98" s="44">
        <v>33499</v>
      </c>
      <c r="F98" s="44">
        <v>35314</v>
      </c>
      <c r="G98" s="44">
        <v>36038</v>
      </c>
      <c r="H98" s="44">
        <v>36170</v>
      </c>
      <c r="I98" s="44">
        <v>37206</v>
      </c>
      <c r="J98" s="44">
        <v>38171</v>
      </c>
      <c r="K98" s="44">
        <v>39198</v>
      </c>
      <c r="L98" s="44">
        <v>38952</v>
      </c>
      <c r="M98" s="44">
        <v>39809</v>
      </c>
      <c r="N98" s="44">
        <v>39363</v>
      </c>
      <c r="O98" s="44">
        <v>36406</v>
      </c>
      <c r="P98" s="44">
        <v>36978</v>
      </c>
      <c r="Q98" s="44">
        <v>37329</v>
      </c>
      <c r="R98" s="44">
        <v>37136</v>
      </c>
      <c r="S98" s="44">
        <v>38677</v>
      </c>
      <c r="T98" s="44">
        <v>40474</v>
      </c>
      <c r="U98" s="44">
        <v>42489</v>
      </c>
      <c r="V98" s="44">
        <v>43637</v>
      </c>
      <c r="W98" s="44">
        <v>46891</v>
      </c>
      <c r="X98" s="44">
        <v>46537</v>
      </c>
      <c r="Y98" s="44">
        <v>46370</v>
      </c>
      <c r="Z98" s="44">
        <v>41628</v>
      </c>
      <c r="AA98" s="44">
        <v>45735</v>
      </c>
      <c r="AB98" s="44">
        <v>45869</v>
      </c>
      <c r="AC98" s="44">
        <v>44716</v>
      </c>
      <c r="AD98"/>
    </row>
    <row r="99" spans="1:30" x14ac:dyDescent="0.2">
      <c r="A99" s="49" t="s">
        <v>87</v>
      </c>
      <c r="B99" s="49" t="s">
        <v>271</v>
      </c>
      <c r="C99" s="49" t="s">
        <v>270</v>
      </c>
      <c r="D99" s="52">
        <v>24485</v>
      </c>
      <c r="E99" s="52">
        <v>24655</v>
      </c>
      <c r="F99" s="52">
        <v>25771</v>
      </c>
      <c r="G99" s="52">
        <v>26714</v>
      </c>
      <c r="H99" s="52">
        <v>26601</v>
      </c>
      <c r="I99" s="52">
        <v>28100</v>
      </c>
      <c r="J99" s="52">
        <v>28031</v>
      </c>
      <c r="K99" s="52">
        <v>28184</v>
      </c>
      <c r="L99" s="52">
        <v>28585</v>
      </c>
      <c r="M99" s="52">
        <v>28717</v>
      </c>
      <c r="N99" s="52">
        <v>28169</v>
      </c>
      <c r="O99" s="52">
        <v>26602</v>
      </c>
      <c r="P99" s="52">
        <v>27684</v>
      </c>
      <c r="Q99" s="52">
        <v>27515</v>
      </c>
      <c r="R99" s="52">
        <v>27589</v>
      </c>
      <c r="S99" s="52">
        <v>27592</v>
      </c>
      <c r="T99" s="52">
        <v>28457</v>
      </c>
      <c r="U99" s="52">
        <v>28920</v>
      </c>
      <c r="V99" s="52">
        <v>29348</v>
      </c>
      <c r="W99" s="52">
        <v>30755</v>
      </c>
      <c r="X99" s="52">
        <v>30713</v>
      </c>
      <c r="Y99" s="52">
        <v>30442</v>
      </c>
      <c r="Z99" s="52">
        <v>26297</v>
      </c>
      <c r="AA99" s="52">
        <v>29608</v>
      </c>
      <c r="AB99" s="52">
        <v>30866</v>
      </c>
      <c r="AC99" s="52">
        <v>30128</v>
      </c>
      <c r="AD99"/>
    </row>
    <row r="100" spans="1:30" x14ac:dyDescent="0.2">
      <c r="A100" s="45" t="s">
        <v>86</v>
      </c>
      <c r="B100" s="45" t="s">
        <v>269</v>
      </c>
      <c r="C100" s="45" t="s">
        <v>268</v>
      </c>
      <c r="D100" s="44">
        <v>18468</v>
      </c>
      <c r="E100" s="44">
        <v>19061</v>
      </c>
      <c r="F100" s="44">
        <v>19984</v>
      </c>
      <c r="G100" s="44">
        <v>21110</v>
      </c>
      <c r="H100" s="44">
        <v>21311</v>
      </c>
      <c r="I100" s="44">
        <v>22318</v>
      </c>
      <c r="J100" s="44">
        <v>22909</v>
      </c>
      <c r="K100" s="44">
        <v>22872</v>
      </c>
      <c r="L100" s="44">
        <v>23699</v>
      </c>
      <c r="M100" s="44">
        <v>23559</v>
      </c>
      <c r="N100" s="44">
        <v>23067</v>
      </c>
      <c r="O100" s="44">
        <v>22242</v>
      </c>
      <c r="P100" s="44">
        <v>22437</v>
      </c>
      <c r="Q100" s="44">
        <v>22275</v>
      </c>
      <c r="R100" s="44">
        <v>22540</v>
      </c>
      <c r="S100" s="44">
        <v>22353</v>
      </c>
      <c r="T100" s="44">
        <v>22408</v>
      </c>
      <c r="U100" s="44">
        <v>22127</v>
      </c>
      <c r="V100" s="44">
        <v>22295</v>
      </c>
      <c r="W100" s="44">
        <v>23338</v>
      </c>
      <c r="X100" s="44">
        <v>23416</v>
      </c>
      <c r="Y100" s="44">
        <v>22419</v>
      </c>
      <c r="Z100" s="44">
        <v>18283</v>
      </c>
      <c r="AA100" s="44">
        <v>21040</v>
      </c>
      <c r="AB100" s="44">
        <v>20716</v>
      </c>
      <c r="AC100" s="44">
        <v>20149</v>
      </c>
      <c r="AD100"/>
    </row>
    <row r="101" spans="1:30" x14ac:dyDescent="0.2">
      <c r="A101" s="45" t="s">
        <v>86</v>
      </c>
      <c r="B101" s="45" t="s">
        <v>267</v>
      </c>
      <c r="C101" s="45" t="s">
        <v>266</v>
      </c>
      <c r="D101" s="44">
        <v>30480</v>
      </c>
      <c r="E101" s="44">
        <v>29942</v>
      </c>
      <c r="F101" s="44">
        <v>30250</v>
      </c>
      <c r="G101" s="44">
        <v>30968</v>
      </c>
      <c r="H101" s="44">
        <v>30338</v>
      </c>
      <c r="I101" s="44">
        <v>33065</v>
      </c>
      <c r="J101" s="44">
        <v>33186</v>
      </c>
      <c r="K101" s="44">
        <v>33395</v>
      </c>
      <c r="L101" s="44">
        <v>34058</v>
      </c>
      <c r="M101" s="44">
        <v>33066</v>
      </c>
      <c r="N101" s="44">
        <v>31336</v>
      </c>
      <c r="O101" s="44">
        <v>29735</v>
      </c>
      <c r="P101" s="44">
        <v>30772</v>
      </c>
      <c r="Q101" s="44">
        <v>29187</v>
      </c>
      <c r="R101" s="44">
        <v>29383</v>
      </c>
      <c r="S101" s="44">
        <v>28056</v>
      </c>
      <c r="T101" s="44">
        <v>29294</v>
      </c>
      <c r="U101" s="44">
        <v>30607</v>
      </c>
      <c r="V101" s="44">
        <v>30183</v>
      </c>
      <c r="W101" s="44">
        <v>32359</v>
      </c>
      <c r="X101" s="44">
        <v>32489</v>
      </c>
      <c r="Y101" s="44">
        <v>32084</v>
      </c>
      <c r="Z101" s="44">
        <v>28030</v>
      </c>
      <c r="AA101" s="44">
        <v>31880</v>
      </c>
      <c r="AB101" s="44">
        <v>34732</v>
      </c>
      <c r="AC101" s="44">
        <v>34880</v>
      </c>
      <c r="AD101"/>
    </row>
    <row r="102" spans="1:30" x14ac:dyDescent="0.2">
      <c r="A102" s="45" t="s">
        <v>86</v>
      </c>
      <c r="B102" s="45" t="s">
        <v>265</v>
      </c>
      <c r="C102" s="45" t="s">
        <v>264</v>
      </c>
      <c r="D102" s="44">
        <v>21654</v>
      </c>
      <c r="E102" s="44">
        <v>21619</v>
      </c>
      <c r="F102" s="44">
        <v>22554</v>
      </c>
      <c r="G102" s="44">
        <v>23098</v>
      </c>
      <c r="H102" s="44">
        <v>22767</v>
      </c>
      <c r="I102" s="44">
        <v>23795</v>
      </c>
      <c r="J102" s="44">
        <v>23627</v>
      </c>
      <c r="K102" s="44">
        <v>23674</v>
      </c>
      <c r="L102" s="44">
        <v>23643</v>
      </c>
      <c r="M102" s="44">
        <v>23673</v>
      </c>
      <c r="N102" s="44">
        <v>23236</v>
      </c>
      <c r="O102" s="44">
        <v>22053</v>
      </c>
      <c r="P102" s="44">
        <v>23169</v>
      </c>
      <c r="Q102" s="44">
        <v>23185</v>
      </c>
      <c r="R102" s="44">
        <v>23330</v>
      </c>
      <c r="S102" s="44">
        <v>23304</v>
      </c>
      <c r="T102" s="44">
        <v>24128</v>
      </c>
      <c r="U102" s="44">
        <v>25118</v>
      </c>
      <c r="V102" s="44">
        <v>26226</v>
      </c>
      <c r="W102" s="44">
        <v>27924</v>
      </c>
      <c r="X102" s="44">
        <v>27728</v>
      </c>
      <c r="Y102" s="44">
        <v>27109</v>
      </c>
      <c r="Z102" s="44">
        <v>23243</v>
      </c>
      <c r="AA102" s="44">
        <v>26110</v>
      </c>
      <c r="AB102" s="44">
        <v>26323</v>
      </c>
      <c r="AC102" s="44">
        <v>25991</v>
      </c>
      <c r="AD102"/>
    </row>
    <row r="103" spans="1:30" x14ac:dyDescent="0.2">
      <c r="A103" s="45" t="s">
        <v>86</v>
      </c>
      <c r="B103" s="45" t="s">
        <v>263</v>
      </c>
      <c r="C103" s="45" t="s">
        <v>262</v>
      </c>
      <c r="D103" s="44">
        <v>29451</v>
      </c>
      <c r="E103" s="44">
        <v>29913</v>
      </c>
      <c r="F103" s="44">
        <v>31032</v>
      </c>
      <c r="G103" s="44">
        <v>31956</v>
      </c>
      <c r="H103" s="44">
        <v>32502</v>
      </c>
      <c r="I103" s="44">
        <v>34488</v>
      </c>
      <c r="J103" s="44">
        <v>34818</v>
      </c>
      <c r="K103" s="44">
        <v>34933</v>
      </c>
      <c r="L103" s="44">
        <v>35734</v>
      </c>
      <c r="M103" s="44">
        <v>35748</v>
      </c>
      <c r="N103" s="44">
        <v>34321</v>
      </c>
      <c r="O103" s="44">
        <v>31871</v>
      </c>
      <c r="P103" s="44">
        <v>33487</v>
      </c>
      <c r="Q103" s="44">
        <v>32695</v>
      </c>
      <c r="R103" s="44">
        <v>31928</v>
      </c>
      <c r="S103" s="44">
        <v>32130</v>
      </c>
      <c r="T103" s="44">
        <v>32067</v>
      </c>
      <c r="U103" s="44">
        <v>32768</v>
      </c>
      <c r="V103" s="44">
        <v>33705</v>
      </c>
      <c r="W103" s="44">
        <v>35154</v>
      </c>
      <c r="X103" s="44">
        <v>34823</v>
      </c>
      <c r="Y103" s="44">
        <v>33805</v>
      </c>
      <c r="Z103" s="44">
        <v>28017</v>
      </c>
      <c r="AA103" s="44">
        <v>31890</v>
      </c>
      <c r="AB103" s="44">
        <v>34209</v>
      </c>
      <c r="AC103" s="44">
        <v>33746</v>
      </c>
      <c r="AD103"/>
    </row>
    <row r="104" spans="1:30" x14ac:dyDescent="0.2">
      <c r="A104" s="45" t="s">
        <v>86</v>
      </c>
      <c r="B104" s="45" t="s">
        <v>261</v>
      </c>
      <c r="C104" s="45" t="s">
        <v>260</v>
      </c>
      <c r="D104" s="44">
        <v>29255</v>
      </c>
      <c r="E104" s="44">
        <v>29346</v>
      </c>
      <c r="F104" s="44">
        <v>31169</v>
      </c>
      <c r="G104" s="44">
        <v>32425</v>
      </c>
      <c r="H104" s="44">
        <v>32070</v>
      </c>
      <c r="I104" s="44">
        <v>33363</v>
      </c>
      <c r="J104" s="44">
        <v>32571</v>
      </c>
      <c r="K104" s="44">
        <v>32682</v>
      </c>
      <c r="L104" s="44">
        <v>32712</v>
      </c>
      <c r="M104" s="44">
        <v>33737</v>
      </c>
      <c r="N104" s="44">
        <v>32932</v>
      </c>
      <c r="O104" s="44">
        <v>31558</v>
      </c>
      <c r="P104" s="44">
        <v>32673</v>
      </c>
      <c r="Q104" s="44">
        <v>32520</v>
      </c>
      <c r="R104" s="44">
        <v>32606</v>
      </c>
      <c r="S104" s="44">
        <v>32577</v>
      </c>
      <c r="T104" s="44">
        <v>34827</v>
      </c>
      <c r="U104" s="44">
        <v>35666</v>
      </c>
      <c r="V104" s="44">
        <v>35288</v>
      </c>
      <c r="W104" s="44">
        <v>36951</v>
      </c>
      <c r="X104" s="44">
        <v>37197</v>
      </c>
      <c r="Y104" s="44">
        <v>37456</v>
      </c>
      <c r="Z104" s="44">
        <v>32666</v>
      </c>
      <c r="AA104" s="44">
        <v>36477</v>
      </c>
      <c r="AB104" s="44">
        <v>37868</v>
      </c>
      <c r="AC104" s="44">
        <v>36152</v>
      </c>
      <c r="AD104"/>
    </row>
    <row r="105" spans="1:30" x14ac:dyDescent="0.2">
      <c r="A105" s="45" t="s">
        <v>86</v>
      </c>
      <c r="B105" s="45" t="s">
        <v>259</v>
      </c>
      <c r="C105" s="45" t="s">
        <v>258</v>
      </c>
      <c r="D105" s="44">
        <v>22451</v>
      </c>
      <c r="E105" s="44">
        <v>22614</v>
      </c>
      <c r="F105" s="44">
        <v>23998</v>
      </c>
      <c r="G105" s="44">
        <v>25105</v>
      </c>
      <c r="H105" s="44">
        <v>24838</v>
      </c>
      <c r="I105" s="44">
        <v>26345</v>
      </c>
      <c r="J105" s="44">
        <v>26328</v>
      </c>
      <c r="K105" s="44">
        <v>26630</v>
      </c>
      <c r="L105" s="44">
        <v>27394</v>
      </c>
      <c r="M105" s="44">
        <v>27435</v>
      </c>
      <c r="N105" s="44">
        <v>27929</v>
      </c>
      <c r="O105" s="44">
        <v>25622</v>
      </c>
      <c r="P105" s="44">
        <v>26513</v>
      </c>
      <c r="Q105" s="44">
        <v>26828</v>
      </c>
      <c r="R105" s="44">
        <v>27104</v>
      </c>
      <c r="S105" s="44">
        <v>27656</v>
      </c>
      <c r="T105" s="44">
        <v>28146</v>
      </c>
      <c r="U105" s="44">
        <v>27443</v>
      </c>
      <c r="V105" s="44">
        <v>27814</v>
      </c>
      <c r="W105" s="44">
        <v>28423</v>
      </c>
      <c r="X105" s="44">
        <v>28463</v>
      </c>
      <c r="Y105" s="44">
        <v>29201</v>
      </c>
      <c r="Z105" s="44">
        <v>26701</v>
      </c>
      <c r="AA105" s="44">
        <v>29492</v>
      </c>
      <c r="AB105" s="44">
        <v>31044</v>
      </c>
      <c r="AC105" s="44">
        <v>29987</v>
      </c>
      <c r="AD105"/>
    </row>
    <row r="106" spans="1:30" x14ac:dyDescent="0.2">
      <c r="A106" s="49" t="s">
        <v>87</v>
      </c>
      <c r="B106" s="49" t="s">
        <v>257</v>
      </c>
      <c r="C106" s="49" t="s">
        <v>256</v>
      </c>
      <c r="D106" s="52">
        <v>29419</v>
      </c>
      <c r="E106" s="52">
        <v>30744</v>
      </c>
      <c r="F106" s="52">
        <v>32033</v>
      </c>
      <c r="G106" s="52">
        <v>32905</v>
      </c>
      <c r="H106" s="52">
        <v>33277</v>
      </c>
      <c r="I106" s="52">
        <v>33365</v>
      </c>
      <c r="J106" s="52">
        <v>33553</v>
      </c>
      <c r="K106" s="52">
        <v>34845</v>
      </c>
      <c r="L106" s="52">
        <v>35789</v>
      </c>
      <c r="M106" s="52">
        <v>36631</v>
      </c>
      <c r="N106" s="52">
        <v>35897</v>
      </c>
      <c r="O106" s="52">
        <v>33564</v>
      </c>
      <c r="P106" s="52">
        <v>34222</v>
      </c>
      <c r="Q106" s="52">
        <v>34597</v>
      </c>
      <c r="R106" s="52">
        <v>34935</v>
      </c>
      <c r="S106" s="52">
        <v>34596</v>
      </c>
      <c r="T106" s="52">
        <v>35321</v>
      </c>
      <c r="U106" s="52">
        <v>35098</v>
      </c>
      <c r="V106" s="52">
        <v>35565</v>
      </c>
      <c r="W106" s="52">
        <v>37054</v>
      </c>
      <c r="X106" s="52">
        <v>37271</v>
      </c>
      <c r="Y106" s="52">
        <v>37669</v>
      </c>
      <c r="Z106" s="52">
        <v>34873</v>
      </c>
      <c r="AA106" s="52">
        <v>37009</v>
      </c>
      <c r="AB106" s="52">
        <v>37594</v>
      </c>
      <c r="AC106" s="52">
        <v>37572</v>
      </c>
      <c r="AD106"/>
    </row>
    <row r="107" spans="1:30" x14ac:dyDescent="0.2">
      <c r="A107" s="45" t="s">
        <v>86</v>
      </c>
      <c r="B107" s="45" t="s">
        <v>255</v>
      </c>
      <c r="C107" s="45" t="s">
        <v>254</v>
      </c>
      <c r="D107" s="44">
        <v>34606</v>
      </c>
      <c r="E107" s="44">
        <v>36071</v>
      </c>
      <c r="F107" s="44">
        <v>37022</v>
      </c>
      <c r="G107" s="44">
        <v>37257</v>
      </c>
      <c r="H107" s="44">
        <v>36976</v>
      </c>
      <c r="I107" s="44">
        <v>36778</v>
      </c>
      <c r="J107" s="44">
        <v>36586</v>
      </c>
      <c r="K107" s="44">
        <v>39632</v>
      </c>
      <c r="L107" s="44">
        <v>38864</v>
      </c>
      <c r="M107" s="44">
        <v>42654</v>
      </c>
      <c r="N107" s="44">
        <v>41182</v>
      </c>
      <c r="O107" s="44">
        <v>35411</v>
      </c>
      <c r="P107" s="44">
        <v>36271</v>
      </c>
      <c r="Q107" s="44">
        <v>36469</v>
      </c>
      <c r="R107" s="44">
        <v>36093</v>
      </c>
      <c r="S107" s="44">
        <v>34447</v>
      </c>
      <c r="T107" s="44">
        <v>35994</v>
      </c>
      <c r="U107" s="44">
        <v>34168</v>
      </c>
      <c r="V107" s="44">
        <v>34996</v>
      </c>
      <c r="W107" s="44">
        <v>37648</v>
      </c>
      <c r="X107" s="44">
        <v>39827</v>
      </c>
      <c r="Y107" s="44">
        <v>36922</v>
      </c>
      <c r="Z107" s="44">
        <v>34002</v>
      </c>
      <c r="AA107" s="44">
        <v>36747</v>
      </c>
      <c r="AB107" s="44">
        <v>36372</v>
      </c>
      <c r="AC107" s="44">
        <v>36839</v>
      </c>
      <c r="AD107"/>
    </row>
    <row r="108" spans="1:30" x14ac:dyDescent="0.2">
      <c r="A108" s="45" t="s">
        <v>86</v>
      </c>
      <c r="B108" s="45" t="s">
        <v>253</v>
      </c>
      <c r="C108" s="45" t="s">
        <v>252</v>
      </c>
      <c r="D108" s="44">
        <v>28084</v>
      </c>
      <c r="E108" s="44">
        <v>29377</v>
      </c>
      <c r="F108" s="44">
        <v>30783</v>
      </c>
      <c r="G108" s="44">
        <v>31848</v>
      </c>
      <c r="H108" s="44">
        <v>32413</v>
      </c>
      <c r="I108" s="44">
        <v>32591</v>
      </c>
      <c r="J108" s="44">
        <v>32889</v>
      </c>
      <c r="K108" s="44">
        <v>33631</v>
      </c>
      <c r="L108" s="44">
        <v>35117</v>
      </c>
      <c r="M108" s="44">
        <v>34922</v>
      </c>
      <c r="N108" s="44">
        <v>34383</v>
      </c>
      <c r="O108" s="44">
        <v>33042</v>
      </c>
      <c r="P108" s="44">
        <v>33637</v>
      </c>
      <c r="Q108" s="44">
        <v>34065</v>
      </c>
      <c r="R108" s="44">
        <v>34612</v>
      </c>
      <c r="S108" s="44">
        <v>34671</v>
      </c>
      <c r="T108" s="44">
        <v>35139</v>
      </c>
      <c r="U108" s="44">
        <v>35420</v>
      </c>
      <c r="V108" s="44">
        <v>35773</v>
      </c>
      <c r="W108" s="44">
        <v>36885</v>
      </c>
      <c r="X108" s="44">
        <v>36462</v>
      </c>
      <c r="Y108" s="44">
        <v>37907</v>
      </c>
      <c r="Z108" s="44">
        <v>35151</v>
      </c>
      <c r="AA108" s="44">
        <v>37095</v>
      </c>
      <c r="AB108" s="44">
        <v>37979</v>
      </c>
      <c r="AC108" s="44">
        <v>37802</v>
      </c>
      <c r="AD108"/>
    </row>
    <row r="109" spans="1:30" x14ac:dyDescent="0.2">
      <c r="A109" s="49" t="s">
        <v>87</v>
      </c>
      <c r="B109" s="49" t="s">
        <v>251</v>
      </c>
      <c r="C109" s="49" t="s">
        <v>250</v>
      </c>
      <c r="D109" s="52">
        <v>21949</v>
      </c>
      <c r="E109" s="52">
        <v>22696</v>
      </c>
      <c r="F109" s="52">
        <v>23791</v>
      </c>
      <c r="G109" s="52">
        <v>24171</v>
      </c>
      <c r="H109" s="52">
        <v>24468</v>
      </c>
      <c r="I109" s="52">
        <v>24892</v>
      </c>
      <c r="J109" s="52">
        <v>24993</v>
      </c>
      <c r="K109" s="52">
        <v>25513</v>
      </c>
      <c r="L109" s="52">
        <v>26393</v>
      </c>
      <c r="M109" s="52">
        <v>26152</v>
      </c>
      <c r="N109" s="52">
        <v>26069</v>
      </c>
      <c r="O109" s="52">
        <v>25465</v>
      </c>
      <c r="P109" s="52">
        <v>25714</v>
      </c>
      <c r="Q109" s="52">
        <v>25954</v>
      </c>
      <c r="R109" s="52">
        <v>26454</v>
      </c>
      <c r="S109" s="52">
        <v>26853</v>
      </c>
      <c r="T109" s="52">
        <v>27258</v>
      </c>
      <c r="U109" s="52">
        <v>27044</v>
      </c>
      <c r="V109" s="52">
        <v>27068</v>
      </c>
      <c r="W109" s="52">
        <v>27748</v>
      </c>
      <c r="X109" s="52">
        <v>26840</v>
      </c>
      <c r="Y109" s="52">
        <v>28242</v>
      </c>
      <c r="Z109" s="52">
        <v>25120</v>
      </c>
      <c r="AA109" s="52">
        <v>27042</v>
      </c>
      <c r="AB109" s="52">
        <v>27437</v>
      </c>
      <c r="AC109" s="52">
        <v>27232</v>
      </c>
      <c r="AD109"/>
    </row>
    <row r="110" spans="1:30" x14ac:dyDescent="0.2">
      <c r="A110" s="45" t="s">
        <v>86</v>
      </c>
      <c r="B110" s="45" t="s">
        <v>249</v>
      </c>
      <c r="C110" s="45" t="s">
        <v>248</v>
      </c>
      <c r="D110" s="44">
        <v>22794</v>
      </c>
      <c r="E110" s="44">
        <v>23447</v>
      </c>
      <c r="F110" s="44">
        <v>24872</v>
      </c>
      <c r="G110" s="44">
        <v>25277</v>
      </c>
      <c r="H110" s="44">
        <v>25623</v>
      </c>
      <c r="I110" s="44">
        <v>26218</v>
      </c>
      <c r="J110" s="44">
        <v>26555</v>
      </c>
      <c r="K110" s="44">
        <v>26974</v>
      </c>
      <c r="L110" s="44">
        <v>28212</v>
      </c>
      <c r="M110" s="44">
        <v>28502</v>
      </c>
      <c r="N110" s="44">
        <v>28801</v>
      </c>
      <c r="O110" s="44">
        <v>28549</v>
      </c>
      <c r="P110" s="44">
        <v>28705</v>
      </c>
      <c r="Q110" s="44">
        <v>28718</v>
      </c>
      <c r="R110" s="44">
        <v>29592</v>
      </c>
      <c r="S110" s="44">
        <v>30353</v>
      </c>
      <c r="T110" s="44">
        <v>30586</v>
      </c>
      <c r="U110" s="44">
        <v>30592</v>
      </c>
      <c r="V110" s="44">
        <v>30486</v>
      </c>
      <c r="W110" s="44">
        <v>32150</v>
      </c>
      <c r="X110" s="44">
        <v>30656</v>
      </c>
      <c r="Y110" s="44">
        <v>33329</v>
      </c>
      <c r="Z110" s="44">
        <v>29432</v>
      </c>
      <c r="AA110" s="44">
        <v>31780</v>
      </c>
      <c r="AB110" s="44">
        <v>32279</v>
      </c>
      <c r="AC110" s="44">
        <v>32005</v>
      </c>
      <c r="AD110"/>
    </row>
    <row r="111" spans="1:30" x14ac:dyDescent="0.2">
      <c r="A111" s="45" t="s">
        <v>86</v>
      </c>
      <c r="B111" s="45" t="s">
        <v>247</v>
      </c>
      <c r="C111" s="45" t="s">
        <v>246</v>
      </c>
      <c r="D111" s="44">
        <v>20348</v>
      </c>
      <c r="E111" s="44">
        <v>21248</v>
      </c>
      <c r="F111" s="44">
        <v>22024</v>
      </c>
      <c r="G111" s="44">
        <v>22368</v>
      </c>
      <c r="H111" s="44">
        <v>22777</v>
      </c>
      <c r="I111" s="44">
        <v>23169</v>
      </c>
      <c r="J111" s="44">
        <v>22921</v>
      </c>
      <c r="K111" s="44">
        <v>23620</v>
      </c>
      <c r="L111" s="44">
        <v>23892</v>
      </c>
      <c r="M111" s="44">
        <v>23337</v>
      </c>
      <c r="N111" s="44">
        <v>23189</v>
      </c>
      <c r="O111" s="44">
        <v>22534</v>
      </c>
      <c r="P111" s="44">
        <v>22685</v>
      </c>
      <c r="Q111" s="44">
        <v>23034</v>
      </c>
      <c r="R111" s="44">
        <v>23321</v>
      </c>
      <c r="S111" s="44">
        <v>23472</v>
      </c>
      <c r="T111" s="44">
        <v>24010</v>
      </c>
      <c r="U111" s="44">
        <v>23639</v>
      </c>
      <c r="V111" s="44">
        <v>23896</v>
      </c>
      <c r="W111" s="44">
        <v>23814</v>
      </c>
      <c r="X111" s="44">
        <v>23626</v>
      </c>
      <c r="Y111" s="44">
        <v>23946</v>
      </c>
      <c r="Z111" s="44">
        <v>21520</v>
      </c>
      <c r="AA111" s="44">
        <v>22834</v>
      </c>
      <c r="AB111" s="44">
        <v>23022</v>
      </c>
      <c r="AC111" s="44">
        <v>22630</v>
      </c>
      <c r="AD111"/>
    </row>
    <row r="112" spans="1:30" x14ac:dyDescent="0.2">
      <c r="A112" s="45" t="s">
        <v>86</v>
      </c>
      <c r="B112" s="45" t="s">
        <v>245</v>
      </c>
      <c r="C112" s="45" t="s">
        <v>244</v>
      </c>
      <c r="D112" s="44">
        <v>22481</v>
      </c>
      <c r="E112" s="44">
        <v>23217</v>
      </c>
      <c r="F112" s="44">
        <v>24160</v>
      </c>
      <c r="G112" s="44">
        <v>24542</v>
      </c>
      <c r="H112" s="44">
        <v>24654</v>
      </c>
      <c r="I112" s="44">
        <v>24852</v>
      </c>
      <c r="J112" s="44">
        <v>24967</v>
      </c>
      <c r="K112" s="44">
        <v>25460</v>
      </c>
      <c r="L112" s="44">
        <v>26444</v>
      </c>
      <c r="M112" s="44">
        <v>25713</v>
      </c>
      <c r="N112" s="44">
        <v>25135</v>
      </c>
      <c r="O112" s="44">
        <v>24062</v>
      </c>
      <c r="P112" s="44">
        <v>24538</v>
      </c>
      <c r="Q112" s="44">
        <v>25014</v>
      </c>
      <c r="R112" s="44">
        <v>25175</v>
      </c>
      <c r="S112" s="44">
        <v>25299</v>
      </c>
      <c r="T112" s="44">
        <v>25841</v>
      </c>
      <c r="U112" s="44">
        <v>25467</v>
      </c>
      <c r="V112" s="44">
        <v>25423</v>
      </c>
      <c r="W112" s="44">
        <v>25473</v>
      </c>
      <c r="X112" s="44">
        <v>24649</v>
      </c>
      <c r="Y112" s="44">
        <v>25366</v>
      </c>
      <c r="Z112" s="44">
        <v>22615</v>
      </c>
      <c r="AA112" s="44">
        <v>24596</v>
      </c>
      <c r="AB112" s="44">
        <v>25039</v>
      </c>
      <c r="AC112" s="44">
        <v>25090</v>
      </c>
      <c r="AD112"/>
    </row>
    <row r="113" spans="1:30" x14ac:dyDescent="0.2">
      <c r="A113" s="49" t="s">
        <v>87</v>
      </c>
      <c r="B113" s="49" t="s">
        <v>243</v>
      </c>
      <c r="C113" s="49" t="s">
        <v>242</v>
      </c>
      <c r="D113" s="52">
        <v>22868</v>
      </c>
      <c r="E113" s="52">
        <v>24164</v>
      </c>
      <c r="F113" s="52">
        <v>25430</v>
      </c>
      <c r="G113" s="52">
        <v>26169</v>
      </c>
      <c r="H113" s="52">
        <v>26396</v>
      </c>
      <c r="I113" s="52">
        <v>26742</v>
      </c>
      <c r="J113" s="52">
        <v>26927</v>
      </c>
      <c r="K113" s="52">
        <v>27719</v>
      </c>
      <c r="L113" s="52">
        <v>28360</v>
      </c>
      <c r="M113" s="52">
        <v>28433</v>
      </c>
      <c r="N113" s="52">
        <v>27943</v>
      </c>
      <c r="O113" s="52">
        <v>26443</v>
      </c>
      <c r="P113" s="52">
        <v>27132</v>
      </c>
      <c r="Q113" s="52">
        <v>27489</v>
      </c>
      <c r="R113" s="52">
        <v>27886</v>
      </c>
      <c r="S113" s="52">
        <v>28475</v>
      </c>
      <c r="T113" s="52">
        <v>29099</v>
      </c>
      <c r="U113" s="52">
        <v>29445</v>
      </c>
      <c r="V113" s="52">
        <v>30119</v>
      </c>
      <c r="W113" s="52">
        <v>30630</v>
      </c>
      <c r="X113" s="52">
        <v>30787</v>
      </c>
      <c r="Y113" s="52">
        <v>31723</v>
      </c>
      <c r="Z113" s="52">
        <v>28460</v>
      </c>
      <c r="AA113" s="52">
        <v>30307</v>
      </c>
      <c r="AB113" s="52">
        <v>30923</v>
      </c>
      <c r="AC113" s="52">
        <v>30364</v>
      </c>
      <c r="AD113"/>
    </row>
    <row r="114" spans="1:30" x14ac:dyDescent="0.2">
      <c r="A114" s="45" t="s">
        <v>86</v>
      </c>
      <c r="B114" s="45" t="s">
        <v>241</v>
      </c>
      <c r="C114" s="45" t="s">
        <v>240</v>
      </c>
      <c r="D114" s="44">
        <v>21932</v>
      </c>
      <c r="E114" s="44">
        <v>22785</v>
      </c>
      <c r="F114" s="44">
        <v>23835</v>
      </c>
      <c r="G114" s="44">
        <v>24198</v>
      </c>
      <c r="H114" s="44">
        <v>24548</v>
      </c>
      <c r="I114" s="44">
        <v>24619</v>
      </c>
      <c r="J114" s="44">
        <v>24627</v>
      </c>
      <c r="K114" s="44">
        <v>24878</v>
      </c>
      <c r="L114" s="44">
        <v>25581</v>
      </c>
      <c r="M114" s="44">
        <v>24999</v>
      </c>
      <c r="N114" s="44">
        <v>24676</v>
      </c>
      <c r="O114" s="44">
        <v>23686</v>
      </c>
      <c r="P114" s="44">
        <v>24413</v>
      </c>
      <c r="Q114" s="44">
        <v>24791</v>
      </c>
      <c r="R114" s="44">
        <v>24964</v>
      </c>
      <c r="S114" s="44">
        <v>24971</v>
      </c>
      <c r="T114" s="44">
        <v>25766</v>
      </c>
      <c r="U114" s="44">
        <v>25605</v>
      </c>
      <c r="V114" s="44">
        <v>25701</v>
      </c>
      <c r="W114" s="44">
        <v>26129</v>
      </c>
      <c r="X114" s="44">
        <v>26080</v>
      </c>
      <c r="Y114" s="44">
        <v>26782</v>
      </c>
      <c r="Z114" s="44">
        <v>24660</v>
      </c>
      <c r="AA114" s="44">
        <v>26009</v>
      </c>
      <c r="AB114" s="44">
        <v>26052</v>
      </c>
      <c r="AC114" s="44">
        <v>25765</v>
      </c>
      <c r="AD114"/>
    </row>
    <row r="115" spans="1:30" x14ac:dyDescent="0.2">
      <c r="A115" s="45" t="s">
        <v>86</v>
      </c>
      <c r="B115" s="45" t="s">
        <v>239</v>
      </c>
      <c r="C115" s="45" t="s">
        <v>238</v>
      </c>
      <c r="D115" s="44">
        <v>32853</v>
      </c>
      <c r="E115" s="44">
        <v>34631</v>
      </c>
      <c r="F115" s="44">
        <v>35609</v>
      </c>
      <c r="G115" s="44">
        <v>35569</v>
      </c>
      <c r="H115" s="44">
        <v>34797</v>
      </c>
      <c r="I115" s="44">
        <v>35047</v>
      </c>
      <c r="J115" s="44">
        <v>34861</v>
      </c>
      <c r="K115" s="44">
        <v>36854</v>
      </c>
      <c r="L115" s="44">
        <v>36087</v>
      </c>
      <c r="M115" s="44">
        <v>38359</v>
      </c>
      <c r="N115" s="44">
        <v>36943</v>
      </c>
      <c r="O115" s="44">
        <v>33255</v>
      </c>
      <c r="P115" s="44">
        <v>33316</v>
      </c>
      <c r="Q115" s="44">
        <v>32735</v>
      </c>
      <c r="R115" s="44">
        <v>32868</v>
      </c>
      <c r="S115" s="44">
        <v>33752</v>
      </c>
      <c r="T115" s="44">
        <v>34846</v>
      </c>
      <c r="U115" s="44">
        <v>36186</v>
      </c>
      <c r="V115" s="44">
        <v>37619</v>
      </c>
      <c r="W115" s="44">
        <v>37488</v>
      </c>
      <c r="X115" s="44">
        <v>37617</v>
      </c>
      <c r="Y115" s="44">
        <v>37990</v>
      </c>
      <c r="Z115" s="44">
        <v>34580</v>
      </c>
      <c r="AA115" s="44">
        <v>36004</v>
      </c>
      <c r="AB115" s="44">
        <v>36540</v>
      </c>
      <c r="AC115" s="44">
        <v>38167</v>
      </c>
      <c r="AD115"/>
    </row>
    <row r="116" spans="1:30" x14ac:dyDescent="0.2">
      <c r="A116" s="45" t="s">
        <v>86</v>
      </c>
      <c r="B116" s="45" t="s">
        <v>237</v>
      </c>
      <c r="C116" s="45" t="s">
        <v>236</v>
      </c>
      <c r="D116" s="44">
        <v>14798</v>
      </c>
      <c r="E116" s="44">
        <v>15953</v>
      </c>
      <c r="F116" s="44">
        <v>17229</v>
      </c>
      <c r="G116" s="44">
        <v>17774</v>
      </c>
      <c r="H116" s="44">
        <v>18298</v>
      </c>
      <c r="I116" s="44">
        <v>19019</v>
      </c>
      <c r="J116" s="44">
        <v>19415</v>
      </c>
      <c r="K116" s="44">
        <v>20197</v>
      </c>
      <c r="L116" s="44">
        <v>20897</v>
      </c>
      <c r="M116" s="44">
        <v>20627</v>
      </c>
      <c r="N116" s="44">
        <v>20315</v>
      </c>
      <c r="O116" s="44">
        <v>19532</v>
      </c>
      <c r="P116" s="44">
        <v>20478</v>
      </c>
      <c r="Q116" s="44">
        <v>21427</v>
      </c>
      <c r="R116" s="44">
        <v>22010</v>
      </c>
      <c r="S116" s="44">
        <v>22645</v>
      </c>
      <c r="T116" s="44">
        <v>23324</v>
      </c>
      <c r="U116" s="44">
        <v>23185</v>
      </c>
      <c r="V116" s="44">
        <v>23515</v>
      </c>
      <c r="W116" s="44">
        <v>24516</v>
      </c>
      <c r="X116" s="44">
        <v>25119</v>
      </c>
      <c r="Y116" s="44">
        <v>26690</v>
      </c>
      <c r="Z116" s="44">
        <v>24309</v>
      </c>
      <c r="AA116" s="44">
        <v>26609</v>
      </c>
      <c r="AB116" s="44">
        <v>28100</v>
      </c>
      <c r="AC116" s="44">
        <v>27175</v>
      </c>
      <c r="AD116"/>
    </row>
    <row r="117" spans="1:30" x14ac:dyDescent="0.2">
      <c r="A117" s="45" t="s">
        <v>86</v>
      </c>
      <c r="B117" s="45" t="s">
        <v>235</v>
      </c>
      <c r="C117" s="45" t="s">
        <v>234</v>
      </c>
      <c r="D117" s="44">
        <v>29439</v>
      </c>
      <c r="E117" s="44">
        <v>30981</v>
      </c>
      <c r="F117" s="44">
        <v>32475</v>
      </c>
      <c r="G117" s="44">
        <v>34701</v>
      </c>
      <c r="H117" s="44">
        <v>34873</v>
      </c>
      <c r="I117" s="44">
        <v>34772</v>
      </c>
      <c r="J117" s="44">
        <v>35011</v>
      </c>
      <c r="K117" s="44">
        <v>35289</v>
      </c>
      <c r="L117" s="44">
        <v>36953</v>
      </c>
      <c r="M117" s="44">
        <v>36417</v>
      </c>
      <c r="N117" s="44">
        <v>36105</v>
      </c>
      <c r="O117" s="44">
        <v>34511</v>
      </c>
      <c r="P117" s="44">
        <v>35020</v>
      </c>
      <c r="Q117" s="44">
        <v>34951</v>
      </c>
      <c r="R117" s="44">
        <v>35431</v>
      </c>
      <c r="S117" s="44">
        <v>36296</v>
      </c>
      <c r="T117" s="44">
        <v>36177</v>
      </c>
      <c r="U117" s="44">
        <v>36912</v>
      </c>
      <c r="V117" s="44">
        <v>38090</v>
      </c>
      <c r="W117" s="44">
        <v>38396</v>
      </c>
      <c r="X117" s="44">
        <v>38195</v>
      </c>
      <c r="Y117" s="44">
        <v>38968</v>
      </c>
      <c r="Z117" s="44">
        <v>33508</v>
      </c>
      <c r="AA117" s="44">
        <v>35627</v>
      </c>
      <c r="AB117" s="44">
        <v>35799</v>
      </c>
      <c r="AC117" s="44">
        <v>33816</v>
      </c>
      <c r="AD117"/>
    </row>
    <row r="118" spans="1:30" x14ac:dyDescent="0.2">
      <c r="A118" s="51" t="s">
        <v>88</v>
      </c>
      <c r="B118" s="51" t="s">
        <v>233</v>
      </c>
      <c r="C118" s="51" t="s">
        <v>232</v>
      </c>
      <c r="D118" s="57">
        <v>44667</v>
      </c>
      <c r="E118" s="57">
        <v>45942</v>
      </c>
      <c r="F118" s="57">
        <v>48946</v>
      </c>
      <c r="G118" s="57">
        <v>48760</v>
      </c>
      <c r="H118" s="57">
        <v>49121</v>
      </c>
      <c r="I118" s="57">
        <v>50964</v>
      </c>
      <c r="J118" s="57">
        <v>52104</v>
      </c>
      <c r="K118" s="57">
        <v>54316</v>
      </c>
      <c r="L118" s="57">
        <v>55803</v>
      </c>
      <c r="M118" s="57">
        <v>59091</v>
      </c>
      <c r="N118" s="57">
        <v>57979</v>
      </c>
      <c r="O118" s="57">
        <v>53452</v>
      </c>
      <c r="P118" s="57">
        <v>54914</v>
      </c>
      <c r="Q118" s="57">
        <v>56036</v>
      </c>
      <c r="R118" s="57">
        <v>56846</v>
      </c>
      <c r="S118" s="57">
        <v>57845</v>
      </c>
      <c r="T118" s="57">
        <v>59583</v>
      </c>
      <c r="U118" s="57">
        <v>59606</v>
      </c>
      <c r="V118" s="57">
        <v>61357</v>
      </c>
      <c r="W118" s="57">
        <v>62267</v>
      </c>
      <c r="X118" s="57">
        <v>63015</v>
      </c>
      <c r="Y118" s="57">
        <v>63333</v>
      </c>
      <c r="Z118" s="57">
        <v>55177</v>
      </c>
      <c r="AA118" s="57">
        <v>60193</v>
      </c>
      <c r="AB118" s="57">
        <v>64495</v>
      </c>
      <c r="AC118" s="57">
        <v>63618</v>
      </c>
      <c r="AD118"/>
    </row>
    <row r="119" spans="1:30" x14ac:dyDescent="0.2">
      <c r="A119" s="49" t="s">
        <v>87</v>
      </c>
      <c r="B119" s="49" t="s">
        <v>231</v>
      </c>
      <c r="C119" s="49" t="s">
        <v>230</v>
      </c>
      <c r="D119" s="52">
        <v>133254</v>
      </c>
      <c r="E119" s="52">
        <v>134686</v>
      </c>
      <c r="F119" s="52">
        <v>143912</v>
      </c>
      <c r="G119" s="52">
        <v>140268</v>
      </c>
      <c r="H119" s="52">
        <v>140704</v>
      </c>
      <c r="I119" s="52">
        <v>145458</v>
      </c>
      <c r="J119" s="52">
        <v>148327</v>
      </c>
      <c r="K119" s="52">
        <v>156802</v>
      </c>
      <c r="L119" s="52">
        <v>161311</v>
      </c>
      <c r="M119" s="52">
        <v>177345</v>
      </c>
      <c r="N119" s="52">
        <v>178402</v>
      </c>
      <c r="O119" s="52">
        <v>166772</v>
      </c>
      <c r="P119" s="52">
        <v>172279</v>
      </c>
      <c r="Q119" s="52">
        <v>174698</v>
      </c>
      <c r="R119" s="52">
        <v>179365</v>
      </c>
      <c r="S119" s="52">
        <v>185723</v>
      </c>
      <c r="T119" s="52">
        <v>194542</v>
      </c>
      <c r="U119" s="52">
        <v>197076</v>
      </c>
      <c r="V119" s="52">
        <v>210024</v>
      </c>
      <c r="W119" s="52">
        <v>216129</v>
      </c>
      <c r="X119" s="52">
        <v>222720</v>
      </c>
      <c r="Y119" s="52">
        <v>226862</v>
      </c>
      <c r="Z119" s="52">
        <v>206890</v>
      </c>
      <c r="AA119" s="52">
        <v>229742</v>
      </c>
      <c r="AB119" s="52">
        <v>239301</v>
      </c>
      <c r="AC119" s="52">
        <v>237338</v>
      </c>
      <c r="AD119"/>
    </row>
    <row r="120" spans="1:30" x14ac:dyDescent="0.2">
      <c r="A120" s="45" t="s">
        <v>86</v>
      </c>
      <c r="B120" s="45" t="s">
        <v>229</v>
      </c>
      <c r="C120" s="45" t="s">
        <v>228</v>
      </c>
      <c r="D120" s="44">
        <v>43909</v>
      </c>
      <c r="E120" s="44">
        <v>45081</v>
      </c>
      <c r="F120" s="44">
        <v>45957</v>
      </c>
      <c r="G120" s="44">
        <v>45258</v>
      </c>
      <c r="H120" s="44">
        <v>44914</v>
      </c>
      <c r="I120" s="44">
        <v>46253</v>
      </c>
      <c r="J120" s="44">
        <v>48400</v>
      </c>
      <c r="K120" s="44">
        <v>49665</v>
      </c>
      <c r="L120" s="44">
        <v>50620</v>
      </c>
      <c r="M120" s="44">
        <v>53960</v>
      </c>
      <c r="N120" s="44">
        <v>55031</v>
      </c>
      <c r="O120" s="44">
        <v>51839</v>
      </c>
      <c r="P120" s="44">
        <v>53825</v>
      </c>
      <c r="Q120" s="44">
        <v>56638</v>
      </c>
      <c r="R120" s="44">
        <v>61417</v>
      </c>
      <c r="S120" s="44">
        <v>65976</v>
      </c>
      <c r="T120" s="44">
        <v>69423</v>
      </c>
      <c r="U120" s="44">
        <v>70467</v>
      </c>
      <c r="V120" s="44">
        <v>70325</v>
      </c>
      <c r="W120" s="44">
        <v>71756</v>
      </c>
      <c r="X120" s="44">
        <v>75320</v>
      </c>
      <c r="Y120" s="44">
        <v>75356</v>
      </c>
      <c r="Z120" s="44">
        <v>63814</v>
      </c>
      <c r="AA120" s="44">
        <v>69578</v>
      </c>
      <c r="AB120" s="44">
        <v>73781</v>
      </c>
      <c r="AC120" s="44">
        <v>74084</v>
      </c>
      <c r="AD120"/>
    </row>
    <row r="121" spans="1:30" x14ac:dyDescent="0.2">
      <c r="A121" s="45" t="s">
        <v>86</v>
      </c>
      <c r="B121" s="45" t="s">
        <v>227</v>
      </c>
      <c r="C121" s="45" t="s">
        <v>226</v>
      </c>
      <c r="D121" s="44">
        <v>25082</v>
      </c>
      <c r="E121" s="44">
        <v>26240</v>
      </c>
      <c r="F121" s="44">
        <v>26832</v>
      </c>
      <c r="G121" s="44">
        <v>27197</v>
      </c>
      <c r="H121" s="44">
        <v>27284</v>
      </c>
      <c r="I121" s="44">
        <v>27629</v>
      </c>
      <c r="J121" s="44">
        <v>27956</v>
      </c>
      <c r="K121" s="44">
        <v>28396</v>
      </c>
      <c r="L121" s="44">
        <v>28596</v>
      </c>
      <c r="M121" s="44">
        <v>29512</v>
      </c>
      <c r="N121" s="44">
        <v>28603</v>
      </c>
      <c r="O121" s="44">
        <v>26818</v>
      </c>
      <c r="P121" s="44">
        <v>27512</v>
      </c>
      <c r="Q121" s="44">
        <v>28201</v>
      </c>
      <c r="R121" s="44">
        <v>29373</v>
      </c>
      <c r="S121" s="44">
        <v>30132</v>
      </c>
      <c r="T121" s="44">
        <v>31143</v>
      </c>
      <c r="U121" s="44">
        <v>32094</v>
      </c>
      <c r="V121" s="44">
        <v>31542</v>
      </c>
      <c r="W121" s="44">
        <v>30569</v>
      </c>
      <c r="X121" s="44">
        <v>30339</v>
      </c>
      <c r="Y121" s="44">
        <v>29538</v>
      </c>
      <c r="Z121" s="44">
        <v>23096</v>
      </c>
      <c r="AA121" s="44">
        <v>26727</v>
      </c>
      <c r="AB121" s="44">
        <v>28336</v>
      </c>
      <c r="AC121" s="44">
        <v>28419</v>
      </c>
      <c r="AD121"/>
    </row>
    <row r="122" spans="1:30" x14ac:dyDescent="0.2">
      <c r="A122" s="45" t="s">
        <v>86</v>
      </c>
      <c r="B122" s="45" t="s">
        <v>225</v>
      </c>
      <c r="C122" s="45" t="s">
        <v>224</v>
      </c>
      <c r="D122" s="44">
        <v>466256</v>
      </c>
      <c r="E122" s="44">
        <v>466823</v>
      </c>
      <c r="F122" s="44">
        <v>502618</v>
      </c>
      <c r="G122" s="44">
        <v>483184</v>
      </c>
      <c r="H122" s="44">
        <v>482200</v>
      </c>
      <c r="I122" s="44">
        <v>494070</v>
      </c>
      <c r="J122" s="44">
        <v>497181</v>
      </c>
      <c r="K122" s="44">
        <v>521870</v>
      </c>
      <c r="L122" s="44">
        <v>542646</v>
      </c>
      <c r="M122" s="44">
        <v>609900</v>
      </c>
      <c r="N122" s="44">
        <v>617452</v>
      </c>
      <c r="O122" s="44">
        <v>580151</v>
      </c>
      <c r="P122" s="44">
        <v>601451</v>
      </c>
      <c r="Q122" s="44">
        <v>602596</v>
      </c>
      <c r="R122" s="44">
        <v>614793</v>
      </c>
      <c r="S122" s="44">
        <v>641643</v>
      </c>
      <c r="T122" s="44">
        <v>672515</v>
      </c>
      <c r="U122" s="44">
        <v>661734</v>
      </c>
      <c r="V122" s="44">
        <v>720091</v>
      </c>
      <c r="W122" s="44">
        <v>751329</v>
      </c>
      <c r="X122" s="44">
        <v>779109</v>
      </c>
      <c r="Y122" s="44">
        <v>806624</v>
      </c>
      <c r="Z122" s="44">
        <v>779619</v>
      </c>
      <c r="AA122" s="44">
        <v>847006</v>
      </c>
      <c r="AB122" s="44">
        <v>859487</v>
      </c>
      <c r="AC122" s="44">
        <v>851233</v>
      </c>
      <c r="AD122"/>
    </row>
    <row r="123" spans="1:30" x14ac:dyDescent="0.2">
      <c r="A123" s="45" t="s">
        <v>86</v>
      </c>
      <c r="B123" s="45" t="s">
        <v>223</v>
      </c>
      <c r="C123" s="45" t="s">
        <v>222</v>
      </c>
      <c r="D123" s="44">
        <v>97370</v>
      </c>
      <c r="E123" s="44">
        <v>100340</v>
      </c>
      <c r="F123" s="44">
        <v>104113</v>
      </c>
      <c r="G123" s="44">
        <v>103946</v>
      </c>
      <c r="H123" s="44">
        <v>102673</v>
      </c>
      <c r="I123" s="44">
        <v>107772</v>
      </c>
      <c r="J123" s="44">
        <v>112085</v>
      </c>
      <c r="K123" s="44">
        <v>115802</v>
      </c>
      <c r="L123" s="44">
        <v>117378</v>
      </c>
      <c r="M123" s="44">
        <v>124479</v>
      </c>
      <c r="N123" s="44">
        <v>124316</v>
      </c>
      <c r="O123" s="44">
        <v>117928</v>
      </c>
      <c r="P123" s="44">
        <v>119509</v>
      </c>
      <c r="Q123" s="44">
        <v>121124</v>
      </c>
      <c r="R123" s="44">
        <v>123612</v>
      </c>
      <c r="S123" s="44">
        <v>130565</v>
      </c>
      <c r="T123" s="44">
        <v>141229</v>
      </c>
      <c r="U123" s="44">
        <v>160765</v>
      </c>
      <c r="V123" s="44">
        <v>176298</v>
      </c>
      <c r="W123" s="44">
        <v>181339</v>
      </c>
      <c r="X123" s="44">
        <v>184974</v>
      </c>
      <c r="Y123" s="44">
        <v>183551</v>
      </c>
      <c r="Z123" s="44">
        <v>143736</v>
      </c>
      <c r="AA123" s="44">
        <v>167715</v>
      </c>
      <c r="AB123" s="44">
        <v>180219</v>
      </c>
      <c r="AC123" s="44">
        <v>172890</v>
      </c>
      <c r="AD123"/>
    </row>
    <row r="124" spans="1:30" x14ac:dyDescent="0.2">
      <c r="A124" s="49" t="s">
        <v>87</v>
      </c>
      <c r="B124" s="49" t="s">
        <v>221</v>
      </c>
      <c r="C124" s="49" t="s">
        <v>220</v>
      </c>
      <c r="D124" s="52">
        <v>37893</v>
      </c>
      <c r="E124" s="52">
        <v>38964</v>
      </c>
      <c r="F124" s="52">
        <v>42372</v>
      </c>
      <c r="G124" s="52">
        <v>43114</v>
      </c>
      <c r="H124" s="52">
        <v>43652</v>
      </c>
      <c r="I124" s="52">
        <v>45494</v>
      </c>
      <c r="J124" s="52">
        <v>46916</v>
      </c>
      <c r="K124" s="52">
        <v>49387</v>
      </c>
      <c r="L124" s="52">
        <v>50344</v>
      </c>
      <c r="M124" s="52">
        <v>53618</v>
      </c>
      <c r="N124" s="52">
        <v>53583</v>
      </c>
      <c r="O124" s="52">
        <v>49889</v>
      </c>
      <c r="P124" s="52">
        <v>50864</v>
      </c>
      <c r="Q124" s="52">
        <v>53536</v>
      </c>
      <c r="R124" s="52">
        <v>53692</v>
      </c>
      <c r="S124" s="52">
        <v>53742</v>
      </c>
      <c r="T124" s="52">
        <v>54879</v>
      </c>
      <c r="U124" s="52">
        <v>55117</v>
      </c>
      <c r="V124" s="52">
        <v>56031</v>
      </c>
      <c r="W124" s="52">
        <v>57317</v>
      </c>
      <c r="X124" s="52">
        <v>57505</v>
      </c>
      <c r="Y124" s="52">
        <v>57722</v>
      </c>
      <c r="Z124" s="52">
        <v>50637</v>
      </c>
      <c r="AA124" s="52">
        <v>54574</v>
      </c>
      <c r="AB124" s="52">
        <v>58912</v>
      </c>
      <c r="AC124" s="52">
        <v>59063</v>
      </c>
      <c r="AD124"/>
    </row>
    <row r="125" spans="1:30" x14ac:dyDescent="0.2">
      <c r="A125" s="45" t="s">
        <v>86</v>
      </c>
      <c r="B125" s="45" t="s">
        <v>219</v>
      </c>
      <c r="C125" s="45" t="s">
        <v>218</v>
      </c>
      <c r="D125" s="44">
        <v>22917</v>
      </c>
      <c r="E125" s="44">
        <v>23291</v>
      </c>
      <c r="F125" s="44">
        <v>24189</v>
      </c>
      <c r="G125" s="44">
        <v>24288</v>
      </c>
      <c r="H125" s="44">
        <v>24001</v>
      </c>
      <c r="I125" s="44">
        <v>24701</v>
      </c>
      <c r="J125" s="44">
        <v>25231</v>
      </c>
      <c r="K125" s="44">
        <v>25888</v>
      </c>
      <c r="L125" s="44">
        <v>25915</v>
      </c>
      <c r="M125" s="44">
        <v>26110</v>
      </c>
      <c r="N125" s="44">
        <v>25265</v>
      </c>
      <c r="O125" s="44">
        <v>23523</v>
      </c>
      <c r="P125" s="44">
        <v>24162</v>
      </c>
      <c r="Q125" s="44">
        <v>24862</v>
      </c>
      <c r="R125" s="44">
        <v>25182</v>
      </c>
      <c r="S125" s="44">
        <v>25349</v>
      </c>
      <c r="T125" s="44">
        <v>26243</v>
      </c>
      <c r="U125" s="44">
        <v>26482</v>
      </c>
      <c r="V125" s="44">
        <v>26859</v>
      </c>
      <c r="W125" s="44">
        <v>28147</v>
      </c>
      <c r="X125" s="44">
        <v>29392</v>
      </c>
      <c r="Y125" s="44">
        <v>31622</v>
      </c>
      <c r="Z125" s="44">
        <v>28863</v>
      </c>
      <c r="AA125" s="44">
        <v>32352</v>
      </c>
      <c r="AB125" s="44">
        <v>34978</v>
      </c>
      <c r="AC125" s="44">
        <v>35401</v>
      </c>
      <c r="AD125"/>
    </row>
    <row r="126" spans="1:30" x14ac:dyDescent="0.2">
      <c r="A126" s="45" t="s">
        <v>86</v>
      </c>
      <c r="B126" s="45" t="s">
        <v>217</v>
      </c>
      <c r="C126" s="45" t="s">
        <v>216</v>
      </c>
      <c r="D126" s="44">
        <v>123933</v>
      </c>
      <c r="E126" s="44">
        <v>122801</v>
      </c>
      <c r="F126" s="44">
        <v>136046</v>
      </c>
      <c r="G126" s="44">
        <v>137865</v>
      </c>
      <c r="H126" s="44">
        <v>140428</v>
      </c>
      <c r="I126" s="44">
        <v>145155</v>
      </c>
      <c r="J126" s="44">
        <v>148777</v>
      </c>
      <c r="K126" s="44">
        <v>160542</v>
      </c>
      <c r="L126" s="44">
        <v>167212</v>
      </c>
      <c r="M126" s="44">
        <v>182196</v>
      </c>
      <c r="N126" s="44">
        <v>182893</v>
      </c>
      <c r="O126" s="44">
        <v>163608</v>
      </c>
      <c r="P126" s="44">
        <v>155970</v>
      </c>
      <c r="Q126" s="44">
        <v>163118</v>
      </c>
      <c r="R126" s="44">
        <v>158378</v>
      </c>
      <c r="S126" s="44">
        <v>156212</v>
      </c>
      <c r="T126" s="44">
        <v>155542</v>
      </c>
      <c r="U126" s="44">
        <v>150430</v>
      </c>
      <c r="V126" s="44">
        <v>154995</v>
      </c>
      <c r="W126" s="44">
        <v>160666</v>
      </c>
      <c r="X126" s="44">
        <v>150196</v>
      </c>
      <c r="Y126" s="44">
        <v>143206</v>
      </c>
      <c r="Z126" s="44">
        <v>127367</v>
      </c>
      <c r="AA126" s="44">
        <v>125474</v>
      </c>
      <c r="AB126" s="44">
        <v>126019</v>
      </c>
      <c r="AC126" s="44">
        <v>129883</v>
      </c>
      <c r="AD126"/>
    </row>
    <row r="127" spans="1:30" x14ac:dyDescent="0.2">
      <c r="A127" s="45" t="s">
        <v>86</v>
      </c>
      <c r="B127" s="45" t="s">
        <v>215</v>
      </c>
      <c r="C127" s="45" t="s">
        <v>214</v>
      </c>
      <c r="D127" s="44">
        <v>28765</v>
      </c>
      <c r="E127" s="44">
        <v>30889</v>
      </c>
      <c r="F127" s="44">
        <v>34640</v>
      </c>
      <c r="G127" s="44">
        <v>35760</v>
      </c>
      <c r="H127" s="44">
        <v>36467</v>
      </c>
      <c r="I127" s="44">
        <v>38409</v>
      </c>
      <c r="J127" s="44">
        <v>40184</v>
      </c>
      <c r="K127" s="44">
        <v>41669</v>
      </c>
      <c r="L127" s="44">
        <v>42644</v>
      </c>
      <c r="M127" s="44">
        <v>45388</v>
      </c>
      <c r="N127" s="44">
        <v>45159</v>
      </c>
      <c r="O127" s="44">
        <v>42843</v>
      </c>
      <c r="P127" s="44">
        <v>44647</v>
      </c>
      <c r="Q127" s="44">
        <v>46538</v>
      </c>
      <c r="R127" s="44">
        <v>47436</v>
      </c>
      <c r="S127" s="44">
        <v>49284</v>
      </c>
      <c r="T127" s="44">
        <v>51888</v>
      </c>
      <c r="U127" s="44">
        <v>53314</v>
      </c>
      <c r="V127" s="44">
        <v>53132</v>
      </c>
      <c r="W127" s="44">
        <v>53659</v>
      </c>
      <c r="X127" s="44">
        <v>56092</v>
      </c>
      <c r="Y127" s="44">
        <v>56908</v>
      </c>
      <c r="Z127" s="44">
        <v>50514</v>
      </c>
      <c r="AA127" s="44">
        <v>56243</v>
      </c>
      <c r="AB127" s="44">
        <v>64490</v>
      </c>
      <c r="AC127" s="44">
        <v>62753</v>
      </c>
      <c r="AD127"/>
    </row>
    <row r="128" spans="1:30" x14ac:dyDescent="0.2">
      <c r="A128" s="45" t="s">
        <v>86</v>
      </c>
      <c r="B128" s="45" t="s">
        <v>213</v>
      </c>
      <c r="C128" s="45" t="s">
        <v>212</v>
      </c>
      <c r="D128" s="44">
        <v>31783</v>
      </c>
      <c r="E128" s="44">
        <v>32817</v>
      </c>
      <c r="F128" s="44">
        <v>35016</v>
      </c>
      <c r="G128" s="44">
        <v>35487</v>
      </c>
      <c r="H128" s="44">
        <v>35616</v>
      </c>
      <c r="I128" s="44">
        <v>37035</v>
      </c>
      <c r="J128" s="44">
        <v>37966</v>
      </c>
      <c r="K128" s="44">
        <v>39139</v>
      </c>
      <c r="L128" s="44">
        <v>39208</v>
      </c>
      <c r="M128" s="44">
        <v>41120</v>
      </c>
      <c r="N128" s="44">
        <v>40760</v>
      </c>
      <c r="O128" s="44">
        <v>38660</v>
      </c>
      <c r="P128" s="44">
        <v>40473</v>
      </c>
      <c r="Q128" s="44">
        <v>43151</v>
      </c>
      <c r="R128" s="44">
        <v>43948</v>
      </c>
      <c r="S128" s="44">
        <v>43950</v>
      </c>
      <c r="T128" s="44">
        <v>42448</v>
      </c>
      <c r="U128" s="44">
        <v>43733</v>
      </c>
      <c r="V128" s="44">
        <v>44423</v>
      </c>
      <c r="W128" s="44">
        <v>44603</v>
      </c>
      <c r="X128" s="44">
        <v>46692</v>
      </c>
      <c r="Y128" s="44">
        <v>48133</v>
      </c>
      <c r="Z128" s="44">
        <v>41808</v>
      </c>
      <c r="AA128" s="44">
        <v>44575</v>
      </c>
      <c r="AB128" s="44">
        <v>47502</v>
      </c>
      <c r="AC128" s="44">
        <v>48455</v>
      </c>
      <c r="AD128"/>
    </row>
    <row r="129" spans="1:30" x14ac:dyDescent="0.2">
      <c r="A129" s="45" t="s">
        <v>86</v>
      </c>
      <c r="B129" s="45" t="s">
        <v>211</v>
      </c>
      <c r="C129" s="45" t="s">
        <v>210</v>
      </c>
      <c r="D129" s="44">
        <v>34085</v>
      </c>
      <c r="E129" s="44">
        <v>35468</v>
      </c>
      <c r="F129" s="44">
        <v>37785</v>
      </c>
      <c r="G129" s="44">
        <v>38321</v>
      </c>
      <c r="H129" s="44">
        <v>37686</v>
      </c>
      <c r="I129" s="44">
        <v>39065</v>
      </c>
      <c r="J129" s="44">
        <v>40381</v>
      </c>
      <c r="K129" s="44">
        <v>42835</v>
      </c>
      <c r="L129" s="44">
        <v>42791</v>
      </c>
      <c r="M129" s="44">
        <v>44975</v>
      </c>
      <c r="N129" s="44">
        <v>45420</v>
      </c>
      <c r="O129" s="44">
        <v>42351</v>
      </c>
      <c r="P129" s="44">
        <v>45760</v>
      </c>
      <c r="Q129" s="44">
        <v>47988</v>
      </c>
      <c r="R129" s="44">
        <v>47318</v>
      </c>
      <c r="S129" s="44">
        <v>44051</v>
      </c>
      <c r="T129" s="44">
        <v>48498</v>
      </c>
      <c r="U129" s="44">
        <v>48617</v>
      </c>
      <c r="V129" s="44">
        <v>49289</v>
      </c>
      <c r="W129" s="44">
        <v>48995</v>
      </c>
      <c r="X129" s="44">
        <v>48602</v>
      </c>
      <c r="Y129" s="44">
        <v>47092</v>
      </c>
      <c r="Z129" s="44">
        <v>37426</v>
      </c>
      <c r="AA129" s="44">
        <v>44722</v>
      </c>
      <c r="AB129" s="44">
        <v>50556</v>
      </c>
      <c r="AC129" s="44">
        <v>47910</v>
      </c>
      <c r="AD129"/>
    </row>
    <row r="130" spans="1:30" x14ac:dyDescent="0.2">
      <c r="A130" s="49" t="s">
        <v>87</v>
      </c>
      <c r="B130" s="49" t="s">
        <v>209</v>
      </c>
      <c r="C130" s="49" t="s">
        <v>208</v>
      </c>
      <c r="D130" s="52">
        <v>23232</v>
      </c>
      <c r="E130" s="52">
        <v>23953</v>
      </c>
      <c r="F130" s="52">
        <v>24410</v>
      </c>
      <c r="G130" s="52">
        <v>24608</v>
      </c>
      <c r="H130" s="52">
        <v>24692</v>
      </c>
      <c r="I130" s="52">
        <v>25543</v>
      </c>
      <c r="J130" s="52">
        <v>25973</v>
      </c>
      <c r="K130" s="52">
        <v>26182</v>
      </c>
      <c r="L130" s="52">
        <v>26979</v>
      </c>
      <c r="M130" s="52">
        <v>27111</v>
      </c>
      <c r="N130" s="52">
        <v>25783</v>
      </c>
      <c r="O130" s="52">
        <v>23169</v>
      </c>
      <c r="P130" s="52">
        <v>24339</v>
      </c>
      <c r="Q130" s="52">
        <v>24484</v>
      </c>
      <c r="R130" s="52">
        <v>25031</v>
      </c>
      <c r="S130" s="52">
        <v>25470</v>
      </c>
      <c r="T130" s="52">
        <v>25581</v>
      </c>
      <c r="U130" s="52">
        <v>25541</v>
      </c>
      <c r="V130" s="52">
        <v>25382</v>
      </c>
      <c r="W130" s="52">
        <v>25160</v>
      </c>
      <c r="X130" s="52">
        <v>25221</v>
      </c>
      <c r="Y130" s="52">
        <v>25143</v>
      </c>
      <c r="Z130" s="52">
        <v>21146</v>
      </c>
      <c r="AA130" s="52">
        <v>23928</v>
      </c>
      <c r="AB130" s="52">
        <v>25241</v>
      </c>
      <c r="AC130" s="52">
        <v>24143</v>
      </c>
      <c r="AD130"/>
    </row>
    <row r="131" spans="1:30" x14ac:dyDescent="0.2">
      <c r="A131" s="45" t="s">
        <v>86</v>
      </c>
      <c r="B131" s="45" t="s">
        <v>207</v>
      </c>
      <c r="C131" s="45" t="s">
        <v>206</v>
      </c>
      <c r="D131" s="44">
        <v>24762</v>
      </c>
      <c r="E131" s="44">
        <v>25922</v>
      </c>
      <c r="F131" s="44">
        <v>26609</v>
      </c>
      <c r="G131" s="44">
        <v>26950</v>
      </c>
      <c r="H131" s="44">
        <v>27116</v>
      </c>
      <c r="I131" s="44">
        <v>27872</v>
      </c>
      <c r="J131" s="44">
        <v>28132</v>
      </c>
      <c r="K131" s="44">
        <v>28331</v>
      </c>
      <c r="L131" s="44">
        <v>29031</v>
      </c>
      <c r="M131" s="44">
        <v>28966</v>
      </c>
      <c r="N131" s="44">
        <v>27890</v>
      </c>
      <c r="O131" s="44">
        <v>25494</v>
      </c>
      <c r="P131" s="44">
        <v>26635</v>
      </c>
      <c r="Q131" s="44">
        <v>26609</v>
      </c>
      <c r="R131" s="44">
        <v>26810</v>
      </c>
      <c r="S131" s="44">
        <v>27967</v>
      </c>
      <c r="T131" s="44">
        <v>27785</v>
      </c>
      <c r="U131" s="44">
        <v>27727</v>
      </c>
      <c r="V131" s="44">
        <v>28302</v>
      </c>
      <c r="W131" s="44">
        <v>28008</v>
      </c>
      <c r="X131" s="44">
        <v>27780</v>
      </c>
      <c r="Y131" s="44">
        <v>28116</v>
      </c>
      <c r="Z131" s="44">
        <v>23602</v>
      </c>
      <c r="AA131" s="44">
        <v>25739</v>
      </c>
      <c r="AB131" s="44">
        <v>26772</v>
      </c>
      <c r="AC131" s="44">
        <v>25465</v>
      </c>
      <c r="AD131"/>
    </row>
    <row r="132" spans="1:30" x14ac:dyDescent="0.2">
      <c r="A132" s="45" t="s">
        <v>86</v>
      </c>
      <c r="B132" s="45" t="s">
        <v>205</v>
      </c>
      <c r="C132" s="45" t="s">
        <v>204</v>
      </c>
      <c r="D132" s="44">
        <v>26743</v>
      </c>
      <c r="E132" s="44">
        <v>26948</v>
      </c>
      <c r="F132" s="44">
        <v>27120</v>
      </c>
      <c r="G132" s="44">
        <v>27163</v>
      </c>
      <c r="H132" s="44">
        <v>26749</v>
      </c>
      <c r="I132" s="44">
        <v>27428</v>
      </c>
      <c r="J132" s="44">
        <v>27845</v>
      </c>
      <c r="K132" s="44">
        <v>27964</v>
      </c>
      <c r="L132" s="44">
        <v>29000</v>
      </c>
      <c r="M132" s="44">
        <v>29662</v>
      </c>
      <c r="N132" s="44">
        <v>28393</v>
      </c>
      <c r="O132" s="44">
        <v>25016</v>
      </c>
      <c r="P132" s="44">
        <v>26307</v>
      </c>
      <c r="Q132" s="44">
        <v>26459</v>
      </c>
      <c r="R132" s="44">
        <v>27028</v>
      </c>
      <c r="S132" s="44">
        <v>27279</v>
      </c>
      <c r="T132" s="44">
        <v>27502</v>
      </c>
      <c r="U132" s="44">
        <v>26692</v>
      </c>
      <c r="V132" s="44">
        <v>25655</v>
      </c>
      <c r="W132" s="44">
        <v>25249</v>
      </c>
      <c r="X132" s="44">
        <v>25212</v>
      </c>
      <c r="Y132" s="44">
        <v>24877</v>
      </c>
      <c r="Z132" s="44">
        <v>20966</v>
      </c>
      <c r="AA132" s="44">
        <v>24452</v>
      </c>
      <c r="AB132" s="44">
        <v>26178</v>
      </c>
      <c r="AC132" s="44">
        <v>24957</v>
      </c>
      <c r="AD132"/>
    </row>
    <row r="133" spans="1:30" x14ac:dyDescent="0.2">
      <c r="A133" s="45" t="s">
        <v>86</v>
      </c>
      <c r="B133" s="45" t="s">
        <v>203</v>
      </c>
      <c r="C133" s="45" t="s">
        <v>202</v>
      </c>
      <c r="D133" s="44">
        <v>18906</v>
      </c>
      <c r="E133" s="44">
        <v>19648</v>
      </c>
      <c r="F133" s="44">
        <v>20205</v>
      </c>
      <c r="G133" s="44">
        <v>20333</v>
      </c>
      <c r="H133" s="44">
        <v>20632</v>
      </c>
      <c r="I133" s="44">
        <v>21385</v>
      </c>
      <c r="J133" s="44">
        <v>21958</v>
      </c>
      <c r="K133" s="44">
        <v>22195</v>
      </c>
      <c r="L133" s="44">
        <v>22750</v>
      </c>
      <c r="M133" s="44">
        <v>22568</v>
      </c>
      <c r="N133" s="44">
        <v>21055</v>
      </c>
      <c r="O133" s="44">
        <v>18809</v>
      </c>
      <c r="P133" s="44">
        <v>19472</v>
      </c>
      <c r="Q133" s="44">
        <v>19604</v>
      </c>
      <c r="R133" s="44">
        <v>20378</v>
      </c>
      <c r="S133" s="44">
        <v>20361</v>
      </c>
      <c r="T133" s="44">
        <v>20520</v>
      </c>
      <c r="U133" s="44">
        <v>20828</v>
      </c>
      <c r="V133" s="44">
        <v>20761</v>
      </c>
      <c r="W133" s="44">
        <v>20827</v>
      </c>
      <c r="X133" s="44">
        <v>20744</v>
      </c>
      <c r="Y133" s="44">
        <v>20398</v>
      </c>
      <c r="Z133" s="44">
        <v>16883</v>
      </c>
      <c r="AA133" s="44">
        <v>19376</v>
      </c>
      <c r="AB133" s="44">
        <v>20910</v>
      </c>
      <c r="AC133" s="44">
        <v>20464</v>
      </c>
      <c r="AD133"/>
    </row>
    <row r="134" spans="1:30" x14ac:dyDescent="0.2">
      <c r="A134" s="45" t="s">
        <v>86</v>
      </c>
      <c r="B134" s="45" t="s">
        <v>201</v>
      </c>
      <c r="C134" s="45" t="s">
        <v>200</v>
      </c>
      <c r="D134" s="44">
        <v>27318</v>
      </c>
      <c r="E134" s="44">
        <v>28035</v>
      </c>
      <c r="F134" s="44">
        <v>28638</v>
      </c>
      <c r="G134" s="44">
        <v>28788</v>
      </c>
      <c r="H134" s="44">
        <v>28815</v>
      </c>
      <c r="I134" s="44">
        <v>29990</v>
      </c>
      <c r="J134" s="44">
        <v>30695</v>
      </c>
      <c r="K134" s="44">
        <v>30666</v>
      </c>
      <c r="L134" s="44">
        <v>31722</v>
      </c>
      <c r="M134" s="44">
        <v>31745</v>
      </c>
      <c r="N134" s="44">
        <v>29604</v>
      </c>
      <c r="O134" s="44">
        <v>26377</v>
      </c>
      <c r="P134" s="44">
        <v>27894</v>
      </c>
      <c r="Q134" s="44">
        <v>27637</v>
      </c>
      <c r="R134" s="44">
        <v>27791</v>
      </c>
      <c r="S134" s="44">
        <v>27997</v>
      </c>
      <c r="T134" s="44">
        <v>28345</v>
      </c>
      <c r="U134" s="44">
        <v>28786</v>
      </c>
      <c r="V134" s="44">
        <v>28740</v>
      </c>
      <c r="W134" s="44">
        <v>28276</v>
      </c>
      <c r="X134" s="44">
        <v>29434</v>
      </c>
      <c r="Y134" s="44">
        <v>29572</v>
      </c>
      <c r="Z134" s="44">
        <v>25597</v>
      </c>
      <c r="AA134" s="44">
        <v>28611</v>
      </c>
      <c r="AB134" s="44">
        <v>29108</v>
      </c>
      <c r="AC134" s="44">
        <v>27630</v>
      </c>
      <c r="AD134"/>
    </row>
    <row r="135" spans="1:30" x14ac:dyDescent="0.2">
      <c r="A135" s="49" t="s">
        <v>87</v>
      </c>
      <c r="B135" s="49" t="s">
        <v>199</v>
      </c>
      <c r="C135" s="49" t="s">
        <v>198</v>
      </c>
      <c r="D135" s="52">
        <v>28344</v>
      </c>
      <c r="E135" s="52">
        <v>29429</v>
      </c>
      <c r="F135" s="52">
        <v>30275</v>
      </c>
      <c r="G135" s="52">
        <v>30269</v>
      </c>
      <c r="H135" s="52">
        <v>30474</v>
      </c>
      <c r="I135" s="52">
        <v>31653</v>
      </c>
      <c r="J135" s="52">
        <v>32082</v>
      </c>
      <c r="K135" s="52">
        <v>32569</v>
      </c>
      <c r="L135" s="52">
        <v>33074</v>
      </c>
      <c r="M135" s="52">
        <v>34150</v>
      </c>
      <c r="N135" s="52">
        <v>32677</v>
      </c>
      <c r="O135" s="52">
        <v>29821</v>
      </c>
      <c r="P135" s="52">
        <v>30713</v>
      </c>
      <c r="Q135" s="52">
        <v>30800</v>
      </c>
      <c r="R135" s="52">
        <v>30826</v>
      </c>
      <c r="S135" s="52">
        <v>30798</v>
      </c>
      <c r="T135" s="52">
        <v>31652</v>
      </c>
      <c r="U135" s="52">
        <v>31067</v>
      </c>
      <c r="V135" s="52">
        <v>31567</v>
      </c>
      <c r="W135" s="52">
        <v>31659</v>
      </c>
      <c r="X135" s="52">
        <v>31835</v>
      </c>
      <c r="Y135" s="52">
        <v>31729</v>
      </c>
      <c r="Z135" s="52">
        <v>26967</v>
      </c>
      <c r="AA135" s="52">
        <v>28795</v>
      </c>
      <c r="AB135" s="52">
        <v>30891</v>
      </c>
      <c r="AC135" s="52">
        <v>30186</v>
      </c>
      <c r="AD135"/>
    </row>
    <row r="136" spans="1:30" x14ac:dyDescent="0.2">
      <c r="A136" s="45" t="s">
        <v>86</v>
      </c>
      <c r="B136" s="45" t="s">
        <v>197</v>
      </c>
      <c r="C136" s="45" t="s">
        <v>196</v>
      </c>
      <c r="D136" s="44">
        <v>30637</v>
      </c>
      <c r="E136" s="44">
        <v>31581</v>
      </c>
      <c r="F136" s="44">
        <v>31558</v>
      </c>
      <c r="G136" s="44">
        <v>31847</v>
      </c>
      <c r="H136" s="44">
        <v>32466</v>
      </c>
      <c r="I136" s="44">
        <v>33768</v>
      </c>
      <c r="J136" s="44">
        <v>34462</v>
      </c>
      <c r="K136" s="44">
        <v>34461</v>
      </c>
      <c r="L136" s="44">
        <v>35787</v>
      </c>
      <c r="M136" s="44">
        <v>35910</v>
      </c>
      <c r="N136" s="44">
        <v>33838</v>
      </c>
      <c r="O136" s="44">
        <v>30649</v>
      </c>
      <c r="P136" s="44">
        <v>31667</v>
      </c>
      <c r="Q136" s="44">
        <v>31761</v>
      </c>
      <c r="R136" s="44">
        <v>32027</v>
      </c>
      <c r="S136" s="44">
        <v>32027</v>
      </c>
      <c r="T136" s="44">
        <v>31298</v>
      </c>
      <c r="U136" s="44">
        <v>30696</v>
      </c>
      <c r="V136" s="44">
        <v>31312</v>
      </c>
      <c r="W136" s="44">
        <v>31797</v>
      </c>
      <c r="X136" s="44">
        <v>31509</v>
      </c>
      <c r="Y136" s="44">
        <v>30204</v>
      </c>
      <c r="Z136" s="44">
        <v>25551</v>
      </c>
      <c r="AA136" s="44">
        <v>26668</v>
      </c>
      <c r="AB136" s="44">
        <v>28618</v>
      </c>
      <c r="AC136" s="44">
        <v>27490</v>
      </c>
      <c r="AD136"/>
    </row>
    <row r="137" spans="1:30" x14ac:dyDescent="0.2">
      <c r="A137" s="45" t="s">
        <v>86</v>
      </c>
      <c r="B137" s="45" t="s">
        <v>195</v>
      </c>
      <c r="C137" s="45" t="s">
        <v>194</v>
      </c>
      <c r="D137" s="44">
        <v>27460</v>
      </c>
      <c r="E137" s="44">
        <v>28722</v>
      </c>
      <c r="F137" s="44">
        <v>30375</v>
      </c>
      <c r="G137" s="44">
        <v>30179</v>
      </c>
      <c r="H137" s="44">
        <v>30219</v>
      </c>
      <c r="I137" s="44">
        <v>31198</v>
      </c>
      <c r="J137" s="44">
        <v>31104</v>
      </c>
      <c r="K137" s="44">
        <v>31954</v>
      </c>
      <c r="L137" s="44">
        <v>31334</v>
      </c>
      <c r="M137" s="44">
        <v>33785</v>
      </c>
      <c r="N137" s="44">
        <v>32373</v>
      </c>
      <c r="O137" s="44">
        <v>29477</v>
      </c>
      <c r="P137" s="44">
        <v>29801</v>
      </c>
      <c r="Q137" s="44">
        <v>28997</v>
      </c>
      <c r="R137" s="44">
        <v>28620</v>
      </c>
      <c r="S137" s="44">
        <v>28250</v>
      </c>
      <c r="T137" s="44">
        <v>30019</v>
      </c>
      <c r="U137" s="44">
        <v>29549</v>
      </c>
      <c r="V137" s="44">
        <v>29497</v>
      </c>
      <c r="W137" s="44">
        <v>29866</v>
      </c>
      <c r="X137" s="44">
        <v>31499</v>
      </c>
      <c r="Y137" s="44">
        <v>32383</v>
      </c>
      <c r="Z137" s="44">
        <v>28765</v>
      </c>
      <c r="AA137" s="44">
        <v>30698</v>
      </c>
      <c r="AB137" s="44">
        <v>32665</v>
      </c>
      <c r="AC137" s="44">
        <v>31655</v>
      </c>
      <c r="AD137"/>
    </row>
    <row r="138" spans="1:30" x14ac:dyDescent="0.2">
      <c r="A138" s="45" t="s">
        <v>86</v>
      </c>
      <c r="B138" s="45" t="s">
        <v>193</v>
      </c>
      <c r="C138" s="45" t="s">
        <v>192</v>
      </c>
      <c r="D138" s="44">
        <v>29519</v>
      </c>
      <c r="E138" s="44">
        <v>30623</v>
      </c>
      <c r="F138" s="44">
        <v>31553</v>
      </c>
      <c r="G138" s="44">
        <v>31448</v>
      </c>
      <c r="H138" s="44">
        <v>31449</v>
      </c>
      <c r="I138" s="44">
        <v>32607</v>
      </c>
      <c r="J138" s="44">
        <v>33351</v>
      </c>
      <c r="K138" s="44">
        <v>33739</v>
      </c>
      <c r="L138" s="44">
        <v>34522</v>
      </c>
      <c r="M138" s="44">
        <v>35075</v>
      </c>
      <c r="N138" s="44">
        <v>33567</v>
      </c>
      <c r="O138" s="44">
        <v>30572</v>
      </c>
      <c r="P138" s="44">
        <v>31592</v>
      </c>
      <c r="Q138" s="44">
        <v>31868</v>
      </c>
      <c r="R138" s="44">
        <v>31802</v>
      </c>
      <c r="S138" s="44">
        <v>31882</v>
      </c>
      <c r="T138" s="44">
        <v>32938</v>
      </c>
      <c r="U138" s="44">
        <v>32288</v>
      </c>
      <c r="V138" s="44">
        <v>33217</v>
      </c>
      <c r="W138" s="44">
        <v>32871</v>
      </c>
      <c r="X138" s="44">
        <v>32428</v>
      </c>
      <c r="Y138" s="44">
        <v>32279</v>
      </c>
      <c r="Z138" s="44">
        <v>26819</v>
      </c>
      <c r="AA138" s="44">
        <v>28863</v>
      </c>
      <c r="AB138" s="44">
        <v>30979</v>
      </c>
      <c r="AC138" s="44">
        <v>30886</v>
      </c>
      <c r="AD138"/>
    </row>
    <row r="139" spans="1:30" x14ac:dyDescent="0.2">
      <c r="A139" s="49" t="s">
        <v>87</v>
      </c>
      <c r="B139" s="49" t="s">
        <v>191</v>
      </c>
      <c r="C139" s="49" t="s">
        <v>190</v>
      </c>
      <c r="D139" s="52">
        <v>32206</v>
      </c>
      <c r="E139" s="52">
        <v>33331</v>
      </c>
      <c r="F139" s="52">
        <v>35030</v>
      </c>
      <c r="G139" s="52">
        <v>34206</v>
      </c>
      <c r="H139" s="52">
        <v>34304</v>
      </c>
      <c r="I139" s="52">
        <v>35569</v>
      </c>
      <c r="J139" s="52">
        <v>36248</v>
      </c>
      <c r="K139" s="52">
        <v>36926</v>
      </c>
      <c r="L139" s="52">
        <v>38866</v>
      </c>
      <c r="M139" s="52">
        <v>39716</v>
      </c>
      <c r="N139" s="52">
        <v>37829</v>
      </c>
      <c r="O139" s="52">
        <v>34547</v>
      </c>
      <c r="P139" s="52">
        <v>35673</v>
      </c>
      <c r="Q139" s="52">
        <v>36253</v>
      </c>
      <c r="R139" s="52">
        <v>36989</v>
      </c>
      <c r="S139" s="52">
        <v>38031</v>
      </c>
      <c r="T139" s="52">
        <v>39541</v>
      </c>
      <c r="U139" s="52">
        <v>39089</v>
      </c>
      <c r="V139" s="52">
        <v>39386</v>
      </c>
      <c r="W139" s="52">
        <v>39491</v>
      </c>
      <c r="X139" s="52">
        <v>39331</v>
      </c>
      <c r="Y139" s="52">
        <v>39075</v>
      </c>
      <c r="Z139" s="52">
        <v>30878</v>
      </c>
      <c r="AA139" s="52">
        <v>32725</v>
      </c>
      <c r="AB139" s="52">
        <v>37301</v>
      </c>
      <c r="AC139" s="52">
        <v>35839</v>
      </c>
      <c r="AD139"/>
    </row>
    <row r="140" spans="1:30" x14ac:dyDescent="0.2">
      <c r="A140" s="45" t="s">
        <v>86</v>
      </c>
      <c r="B140" s="45" t="s">
        <v>189</v>
      </c>
      <c r="C140" s="45" t="s">
        <v>188</v>
      </c>
      <c r="D140" s="44">
        <v>27084</v>
      </c>
      <c r="E140" s="44">
        <v>27954</v>
      </c>
      <c r="F140" s="44">
        <v>28360</v>
      </c>
      <c r="G140" s="44">
        <v>28273</v>
      </c>
      <c r="H140" s="44">
        <v>28621</v>
      </c>
      <c r="I140" s="44">
        <v>29550</v>
      </c>
      <c r="J140" s="44">
        <v>29967</v>
      </c>
      <c r="K140" s="44">
        <v>29905</v>
      </c>
      <c r="L140" s="44">
        <v>31041</v>
      </c>
      <c r="M140" s="44">
        <v>30862</v>
      </c>
      <c r="N140" s="44">
        <v>28620</v>
      </c>
      <c r="O140" s="44">
        <v>26292</v>
      </c>
      <c r="P140" s="44">
        <v>27370</v>
      </c>
      <c r="Q140" s="44">
        <v>27374</v>
      </c>
      <c r="R140" s="44">
        <v>28368</v>
      </c>
      <c r="S140" s="44">
        <v>28206</v>
      </c>
      <c r="T140" s="44">
        <v>28677</v>
      </c>
      <c r="U140" s="44">
        <v>28498</v>
      </c>
      <c r="V140" s="44">
        <v>28721</v>
      </c>
      <c r="W140" s="44">
        <v>28553</v>
      </c>
      <c r="X140" s="44">
        <v>28578</v>
      </c>
      <c r="Y140" s="44">
        <v>28465</v>
      </c>
      <c r="Z140" s="44">
        <v>25235</v>
      </c>
      <c r="AA140" s="44">
        <v>28057</v>
      </c>
      <c r="AB140" s="44">
        <v>30445</v>
      </c>
      <c r="AC140" s="44">
        <v>28660</v>
      </c>
      <c r="AD140"/>
    </row>
    <row r="141" spans="1:30" x14ac:dyDescent="0.2">
      <c r="A141" s="45" t="s">
        <v>86</v>
      </c>
      <c r="B141" s="45" t="s">
        <v>187</v>
      </c>
      <c r="C141" s="45" t="s">
        <v>186</v>
      </c>
      <c r="D141" s="44">
        <v>29633</v>
      </c>
      <c r="E141" s="44">
        <v>31342</v>
      </c>
      <c r="F141" s="44">
        <v>32140</v>
      </c>
      <c r="G141" s="44">
        <v>31579</v>
      </c>
      <c r="H141" s="44">
        <v>31880</v>
      </c>
      <c r="I141" s="44">
        <v>32603</v>
      </c>
      <c r="J141" s="44">
        <v>32902</v>
      </c>
      <c r="K141" s="44">
        <v>33511</v>
      </c>
      <c r="L141" s="44">
        <v>34632</v>
      </c>
      <c r="M141" s="44">
        <v>33967</v>
      </c>
      <c r="N141" s="44">
        <v>31670</v>
      </c>
      <c r="O141" s="44">
        <v>28615</v>
      </c>
      <c r="P141" s="44">
        <v>29391</v>
      </c>
      <c r="Q141" s="44">
        <v>29318</v>
      </c>
      <c r="R141" s="44">
        <v>30400</v>
      </c>
      <c r="S141" s="44">
        <v>30882</v>
      </c>
      <c r="T141" s="44">
        <v>32339</v>
      </c>
      <c r="U141" s="44">
        <v>32430</v>
      </c>
      <c r="V141" s="44">
        <v>32784</v>
      </c>
      <c r="W141" s="44">
        <v>32411</v>
      </c>
      <c r="X141" s="44">
        <v>31338</v>
      </c>
      <c r="Y141" s="44">
        <v>32001</v>
      </c>
      <c r="Z141" s="44">
        <v>27534</v>
      </c>
      <c r="AA141" s="44">
        <v>29876</v>
      </c>
      <c r="AB141" s="44">
        <v>32079</v>
      </c>
      <c r="AC141" s="44">
        <v>31070</v>
      </c>
      <c r="AD141"/>
    </row>
    <row r="142" spans="1:30" x14ac:dyDescent="0.2">
      <c r="A142" s="45" t="s">
        <v>86</v>
      </c>
      <c r="B142" s="45" t="s">
        <v>185</v>
      </c>
      <c r="C142" s="45" t="s">
        <v>184</v>
      </c>
      <c r="D142" s="44">
        <v>29338</v>
      </c>
      <c r="E142" s="44">
        <v>30213</v>
      </c>
      <c r="F142" s="44">
        <v>31134</v>
      </c>
      <c r="G142" s="44">
        <v>31071</v>
      </c>
      <c r="H142" s="44">
        <v>31085</v>
      </c>
      <c r="I142" s="44">
        <v>32274</v>
      </c>
      <c r="J142" s="44">
        <v>32605</v>
      </c>
      <c r="K142" s="44">
        <v>32657</v>
      </c>
      <c r="L142" s="44">
        <v>33978</v>
      </c>
      <c r="M142" s="44">
        <v>34005</v>
      </c>
      <c r="N142" s="44">
        <v>32068</v>
      </c>
      <c r="O142" s="44">
        <v>28823</v>
      </c>
      <c r="P142" s="44">
        <v>29586</v>
      </c>
      <c r="Q142" s="44">
        <v>29891</v>
      </c>
      <c r="R142" s="44">
        <v>30909</v>
      </c>
      <c r="S142" s="44">
        <v>31637</v>
      </c>
      <c r="T142" s="44">
        <v>32990</v>
      </c>
      <c r="U142" s="44">
        <v>33059</v>
      </c>
      <c r="V142" s="44">
        <v>33677</v>
      </c>
      <c r="W142" s="44">
        <v>32282</v>
      </c>
      <c r="X142" s="44">
        <v>31919</v>
      </c>
      <c r="Y142" s="44">
        <v>30976</v>
      </c>
      <c r="Z142" s="44">
        <v>28003</v>
      </c>
      <c r="AA142" s="44">
        <v>29073</v>
      </c>
      <c r="AB142" s="44">
        <v>30155</v>
      </c>
      <c r="AC142" s="44">
        <v>27838</v>
      </c>
      <c r="AD142"/>
    </row>
    <row r="143" spans="1:30" x14ac:dyDescent="0.2">
      <c r="A143" s="45" t="s">
        <v>86</v>
      </c>
      <c r="B143" s="45" t="s">
        <v>183</v>
      </c>
      <c r="C143" s="45" t="s">
        <v>182</v>
      </c>
      <c r="D143" s="44">
        <v>38202</v>
      </c>
      <c r="E143" s="44">
        <v>39086</v>
      </c>
      <c r="F143" s="44">
        <v>41359</v>
      </c>
      <c r="G143" s="44">
        <v>38834</v>
      </c>
      <c r="H143" s="44">
        <v>38505</v>
      </c>
      <c r="I143" s="44">
        <v>40328</v>
      </c>
      <c r="J143" s="44">
        <v>41982</v>
      </c>
      <c r="K143" s="44">
        <v>42815</v>
      </c>
      <c r="L143" s="44">
        <v>44794</v>
      </c>
      <c r="M143" s="44">
        <v>46894</v>
      </c>
      <c r="N143" s="44">
        <v>43246</v>
      </c>
      <c r="O143" s="44">
        <v>38549</v>
      </c>
      <c r="P143" s="44">
        <v>40468</v>
      </c>
      <c r="Q143" s="44">
        <v>41653</v>
      </c>
      <c r="R143" s="44">
        <v>41492</v>
      </c>
      <c r="S143" s="44">
        <v>42330</v>
      </c>
      <c r="T143" s="44">
        <v>44536</v>
      </c>
      <c r="U143" s="44">
        <v>42274</v>
      </c>
      <c r="V143" s="44">
        <v>41072</v>
      </c>
      <c r="W143" s="44">
        <v>41959</v>
      </c>
      <c r="X143" s="44">
        <v>41913</v>
      </c>
      <c r="Y143" s="44">
        <v>41136</v>
      </c>
      <c r="Z143" s="44">
        <v>29859</v>
      </c>
      <c r="AA143" s="44">
        <v>31887</v>
      </c>
      <c r="AB143" s="44">
        <v>36940</v>
      </c>
      <c r="AC143" s="44">
        <v>36128</v>
      </c>
      <c r="AD143"/>
    </row>
    <row r="144" spans="1:30" x14ac:dyDescent="0.2">
      <c r="A144" s="45" t="s">
        <v>86</v>
      </c>
      <c r="B144" s="45" t="s">
        <v>181</v>
      </c>
      <c r="C144" s="45" t="s">
        <v>180</v>
      </c>
      <c r="D144" s="44">
        <v>38097</v>
      </c>
      <c r="E144" s="44">
        <v>39947</v>
      </c>
      <c r="F144" s="44">
        <v>43471</v>
      </c>
      <c r="G144" s="44">
        <v>43467</v>
      </c>
      <c r="H144" s="44">
        <v>43604</v>
      </c>
      <c r="I144" s="44">
        <v>44595</v>
      </c>
      <c r="J144" s="44">
        <v>44875</v>
      </c>
      <c r="K144" s="44">
        <v>45914</v>
      </c>
      <c r="L144" s="44">
        <v>49647</v>
      </c>
      <c r="M144" s="44">
        <v>51128</v>
      </c>
      <c r="N144" s="44">
        <v>51009</v>
      </c>
      <c r="O144" s="44">
        <v>47479</v>
      </c>
      <c r="P144" s="44">
        <v>47788</v>
      </c>
      <c r="Q144" s="44">
        <v>48112</v>
      </c>
      <c r="R144" s="44">
        <v>48676</v>
      </c>
      <c r="S144" s="44">
        <v>51311</v>
      </c>
      <c r="T144" s="44">
        <v>53034</v>
      </c>
      <c r="U144" s="44">
        <v>53660</v>
      </c>
      <c r="V144" s="44">
        <v>55802</v>
      </c>
      <c r="W144" s="44">
        <v>56341</v>
      </c>
      <c r="X144" s="44">
        <v>56783</v>
      </c>
      <c r="Y144" s="44">
        <v>56659</v>
      </c>
      <c r="Z144" s="44">
        <v>41817</v>
      </c>
      <c r="AA144" s="44">
        <v>42662</v>
      </c>
      <c r="AB144" s="44">
        <v>52332</v>
      </c>
      <c r="AC144" s="44">
        <v>50965</v>
      </c>
      <c r="AD144"/>
    </row>
    <row r="145" spans="1:30" x14ac:dyDescent="0.2">
      <c r="A145" s="51" t="s">
        <v>88</v>
      </c>
      <c r="B145" s="51" t="s">
        <v>179</v>
      </c>
      <c r="C145" s="51" t="s">
        <v>178</v>
      </c>
      <c r="D145" s="57">
        <v>28453</v>
      </c>
      <c r="E145" s="57">
        <v>29478</v>
      </c>
      <c r="F145" s="57">
        <v>30933</v>
      </c>
      <c r="G145" s="57">
        <v>31311</v>
      </c>
      <c r="H145" s="57">
        <v>31792</v>
      </c>
      <c r="I145" s="57">
        <v>32356</v>
      </c>
      <c r="J145" s="57">
        <v>32574</v>
      </c>
      <c r="K145" s="57">
        <v>33286</v>
      </c>
      <c r="L145" s="57">
        <v>33774</v>
      </c>
      <c r="M145" s="57">
        <v>34371</v>
      </c>
      <c r="N145" s="57">
        <v>34503</v>
      </c>
      <c r="O145" s="57">
        <v>32788</v>
      </c>
      <c r="P145" s="57">
        <v>34263</v>
      </c>
      <c r="Q145" s="57">
        <v>34936</v>
      </c>
      <c r="R145" s="57">
        <v>35413</v>
      </c>
      <c r="S145" s="57">
        <v>35763</v>
      </c>
      <c r="T145" s="57">
        <v>36514</v>
      </c>
      <c r="U145" s="57">
        <v>37142</v>
      </c>
      <c r="V145" s="57">
        <v>37016</v>
      </c>
      <c r="W145" s="57">
        <v>37670</v>
      </c>
      <c r="X145" s="57">
        <v>38122</v>
      </c>
      <c r="Y145" s="57">
        <v>39084</v>
      </c>
      <c r="Z145" s="57">
        <v>36053</v>
      </c>
      <c r="AA145" s="57">
        <v>38076</v>
      </c>
      <c r="AB145" s="57">
        <v>38821</v>
      </c>
      <c r="AC145" s="57">
        <v>38004</v>
      </c>
      <c r="AD145"/>
    </row>
    <row r="146" spans="1:30" x14ac:dyDescent="0.2">
      <c r="A146" s="49" t="s">
        <v>87</v>
      </c>
      <c r="B146" s="49" t="s">
        <v>177</v>
      </c>
      <c r="C146" s="49" t="s">
        <v>176</v>
      </c>
      <c r="D146" s="52">
        <v>30167</v>
      </c>
      <c r="E146" s="52">
        <v>31845</v>
      </c>
      <c r="F146" s="52">
        <v>34328</v>
      </c>
      <c r="G146" s="52">
        <v>34883</v>
      </c>
      <c r="H146" s="52">
        <v>35927</v>
      </c>
      <c r="I146" s="52">
        <v>37368</v>
      </c>
      <c r="J146" s="52">
        <v>37441</v>
      </c>
      <c r="K146" s="52">
        <v>38488</v>
      </c>
      <c r="L146" s="52">
        <v>39278</v>
      </c>
      <c r="M146" s="52">
        <v>39966</v>
      </c>
      <c r="N146" s="52">
        <v>40100</v>
      </c>
      <c r="O146" s="52">
        <v>38450</v>
      </c>
      <c r="P146" s="52">
        <v>39867</v>
      </c>
      <c r="Q146" s="52">
        <v>41392</v>
      </c>
      <c r="R146" s="52">
        <v>42224</v>
      </c>
      <c r="S146" s="52">
        <v>42448</v>
      </c>
      <c r="T146" s="52">
        <v>43932</v>
      </c>
      <c r="U146" s="52">
        <v>44778</v>
      </c>
      <c r="V146" s="52">
        <v>44129</v>
      </c>
      <c r="W146" s="52">
        <v>44684</v>
      </c>
      <c r="X146" s="52">
        <v>45918</v>
      </c>
      <c r="Y146" s="52">
        <v>47353</v>
      </c>
      <c r="Z146" s="52">
        <v>44825</v>
      </c>
      <c r="AA146" s="52">
        <v>47194</v>
      </c>
      <c r="AB146" s="52">
        <v>47646</v>
      </c>
      <c r="AC146" s="52">
        <v>46489</v>
      </c>
      <c r="AD146"/>
    </row>
    <row r="147" spans="1:30" x14ac:dyDescent="0.2">
      <c r="A147" s="45" t="s">
        <v>86</v>
      </c>
      <c r="B147" s="45" t="s">
        <v>175</v>
      </c>
      <c r="C147" s="45" t="s">
        <v>174</v>
      </c>
      <c r="D147" s="44">
        <v>47625</v>
      </c>
      <c r="E147" s="44">
        <v>47910</v>
      </c>
      <c r="F147" s="44">
        <v>51006</v>
      </c>
      <c r="G147" s="44">
        <v>51619</v>
      </c>
      <c r="H147" s="44">
        <v>53650</v>
      </c>
      <c r="I147" s="44">
        <v>55185</v>
      </c>
      <c r="J147" s="44">
        <v>53637</v>
      </c>
      <c r="K147" s="44">
        <v>53889</v>
      </c>
      <c r="L147" s="44">
        <v>55266</v>
      </c>
      <c r="M147" s="44">
        <v>55452</v>
      </c>
      <c r="N147" s="44">
        <v>54234</v>
      </c>
      <c r="O147" s="44">
        <v>49138</v>
      </c>
      <c r="P147" s="44">
        <v>50620</v>
      </c>
      <c r="Q147" s="44">
        <v>51408</v>
      </c>
      <c r="R147" s="44">
        <v>52371</v>
      </c>
      <c r="S147" s="44">
        <v>53567</v>
      </c>
      <c r="T147" s="44">
        <v>57246</v>
      </c>
      <c r="U147" s="44">
        <v>60985</v>
      </c>
      <c r="V147" s="44">
        <v>58626</v>
      </c>
      <c r="W147" s="44">
        <v>61020</v>
      </c>
      <c r="X147" s="44">
        <v>61110</v>
      </c>
      <c r="Y147" s="44">
        <v>60049</v>
      </c>
      <c r="Z147" s="44">
        <v>52949</v>
      </c>
      <c r="AA147" s="44">
        <v>55672</v>
      </c>
      <c r="AB147" s="44">
        <v>58023</v>
      </c>
      <c r="AC147" s="44">
        <v>55854</v>
      </c>
      <c r="AD147"/>
    </row>
    <row r="148" spans="1:30" x14ac:dyDescent="0.2">
      <c r="A148" s="45" t="s">
        <v>86</v>
      </c>
      <c r="B148" s="45" t="s">
        <v>173</v>
      </c>
      <c r="C148" s="45" t="s">
        <v>172</v>
      </c>
      <c r="D148" s="44">
        <v>31944</v>
      </c>
      <c r="E148" s="44">
        <v>32917</v>
      </c>
      <c r="F148" s="44">
        <v>34484</v>
      </c>
      <c r="G148" s="44">
        <v>34494</v>
      </c>
      <c r="H148" s="44">
        <v>34596</v>
      </c>
      <c r="I148" s="44">
        <v>34963</v>
      </c>
      <c r="J148" s="44">
        <v>34408</v>
      </c>
      <c r="K148" s="44">
        <v>35392</v>
      </c>
      <c r="L148" s="44">
        <v>35370</v>
      </c>
      <c r="M148" s="44">
        <v>36459</v>
      </c>
      <c r="N148" s="44">
        <v>36724</v>
      </c>
      <c r="O148" s="44">
        <v>34616</v>
      </c>
      <c r="P148" s="44">
        <v>35591</v>
      </c>
      <c r="Q148" s="44">
        <v>36366</v>
      </c>
      <c r="R148" s="44">
        <v>36270</v>
      </c>
      <c r="S148" s="44">
        <v>36262</v>
      </c>
      <c r="T148" s="44">
        <v>36597</v>
      </c>
      <c r="U148" s="44">
        <v>35966</v>
      </c>
      <c r="V148" s="44">
        <v>35467</v>
      </c>
      <c r="W148" s="44">
        <v>35217</v>
      </c>
      <c r="X148" s="44">
        <v>35425</v>
      </c>
      <c r="Y148" s="44">
        <v>36948</v>
      </c>
      <c r="Z148" s="44">
        <v>33607</v>
      </c>
      <c r="AA148" s="44">
        <v>35686</v>
      </c>
      <c r="AB148" s="44">
        <v>35600</v>
      </c>
      <c r="AC148" s="44">
        <v>34712</v>
      </c>
      <c r="AD148"/>
    </row>
    <row r="149" spans="1:30" x14ac:dyDescent="0.2">
      <c r="A149" s="45" t="s">
        <v>86</v>
      </c>
      <c r="B149" s="45" t="s">
        <v>171</v>
      </c>
      <c r="C149" s="45" t="s">
        <v>170</v>
      </c>
      <c r="D149" s="44">
        <v>34115</v>
      </c>
      <c r="E149" s="44">
        <v>35029</v>
      </c>
      <c r="F149" s="44">
        <v>36100</v>
      </c>
      <c r="G149" s="44">
        <v>36812</v>
      </c>
      <c r="H149" s="44">
        <v>37800</v>
      </c>
      <c r="I149" s="44">
        <v>38421</v>
      </c>
      <c r="J149" s="44">
        <v>37986</v>
      </c>
      <c r="K149" s="44">
        <v>38140</v>
      </c>
      <c r="L149" s="44">
        <v>38557</v>
      </c>
      <c r="M149" s="44">
        <v>38622</v>
      </c>
      <c r="N149" s="44">
        <v>38832</v>
      </c>
      <c r="O149" s="44">
        <v>36856</v>
      </c>
      <c r="P149" s="44">
        <v>37804</v>
      </c>
      <c r="Q149" s="44">
        <v>38578</v>
      </c>
      <c r="R149" s="44">
        <v>38941</v>
      </c>
      <c r="S149" s="44">
        <v>39512</v>
      </c>
      <c r="T149" s="44">
        <v>40455</v>
      </c>
      <c r="U149" s="44">
        <v>40614</v>
      </c>
      <c r="V149" s="44">
        <v>38891</v>
      </c>
      <c r="W149" s="44">
        <v>38876</v>
      </c>
      <c r="X149" s="44">
        <v>39323</v>
      </c>
      <c r="Y149" s="44">
        <v>40755</v>
      </c>
      <c r="Z149" s="44">
        <v>38463</v>
      </c>
      <c r="AA149" s="44">
        <v>39864</v>
      </c>
      <c r="AB149" s="44">
        <v>41318</v>
      </c>
      <c r="AC149" s="44">
        <v>39292</v>
      </c>
      <c r="AD149"/>
    </row>
    <row r="150" spans="1:30" x14ac:dyDescent="0.2">
      <c r="A150" s="45" t="s">
        <v>86</v>
      </c>
      <c r="B150" s="45" t="s">
        <v>169</v>
      </c>
      <c r="C150" s="45" t="s">
        <v>168</v>
      </c>
      <c r="D150" s="44">
        <v>31937</v>
      </c>
      <c r="E150" s="44">
        <v>34643</v>
      </c>
      <c r="F150" s="44">
        <v>38597</v>
      </c>
      <c r="G150" s="44">
        <v>39443</v>
      </c>
      <c r="H150" s="44">
        <v>41044</v>
      </c>
      <c r="I150" s="44">
        <v>43616</v>
      </c>
      <c r="J150" s="44">
        <v>44155</v>
      </c>
      <c r="K150" s="44">
        <v>45584</v>
      </c>
      <c r="L150" s="44">
        <v>46895</v>
      </c>
      <c r="M150" s="44">
        <v>47451</v>
      </c>
      <c r="N150" s="44">
        <v>47547</v>
      </c>
      <c r="O150" s="44">
        <v>46510</v>
      </c>
      <c r="P150" s="44">
        <v>48399</v>
      </c>
      <c r="Q150" s="44">
        <v>50873</v>
      </c>
      <c r="R150" s="44">
        <v>51892</v>
      </c>
      <c r="S150" s="44">
        <v>52737</v>
      </c>
      <c r="T150" s="44">
        <v>53855</v>
      </c>
      <c r="U150" s="44">
        <v>54819</v>
      </c>
      <c r="V150" s="44">
        <v>54601</v>
      </c>
      <c r="W150" s="44">
        <v>55728</v>
      </c>
      <c r="X150" s="44">
        <v>56432</v>
      </c>
      <c r="Y150" s="44">
        <v>56530</v>
      </c>
      <c r="Z150" s="44">
        <v>54224</v>
      </c>
      <c r="AA150" s="44">
        <v>57146</v>
      </c>
      <c r="AB150" s="44">
        <v>56121</v>
      </c>
      <c r="AC150" s="44">
        <v>54456</v>
      </c>
      <c r="AD150"/>
    </row>
    <row r="151" spans="1:30" x14ac:dyDescent="0.2">
      <c r="A151" s="45" t="s">
        <v>86</v>
      </c>
      <c r="B151" s="45" t="s">
        <v>167</v>
      </c>
      <c r="C151" s="45" t="s">
        <v>166</v>
      </c>
      <c r="D151" s="44">
        <v>22039</v>
      </c>
      <c r="E151" s="44">
        <v>24438</v>
      </c>
      <c r="F151" s="44">
        <v>27379</v>
      </c>
      <c r="G151" s="44">
        <v>27906</v>
      </c>
      <c r="H151" s="44">
        <v>28875</v>
      </c>
      <c r="I151" s="44">
        <v>30873</v>
      </c>
      <c r="J151" s="44">
        <v>32022</v>
      </c>
      <c r="K151" s="44">
        <v>33550</v>
      </c>
      <c r="L151" s="44">
        <v>34786</v>
      </c>
      <c r="M151" s="44">
        <v>35794</v>
      </c>
      <c r="N151" s="44">
        <v>35684</v>
      </c>
      <c r="O151" s="44">
        <v>35119</v>
      </c>
      <c r="P151" s="44">
        <v>36438</v>
      </c>
      <c r="Q151" s="44">
        <v>38563</v>
      </c>
      <c r="R151" s="44">
        <v>40208</v>
      </c>
      <c r="S151" s="44">
        <v>39632</v>
      </c>
      <c r="T151" s="44">
        <v>42114</v>
      </c>
      <c r="U151" s="44">
        <v>43919</v>
      </c>
      <c r="V151" s="44">
        <v>44936</v>
      </c>
      <c r="W151" s="44">
        <v>45456</v>
      </c>
      <c r="X151" s="44">
        <v>49753</v>
      </c>
      <c r="Y151" s="44">
        <v>53503</v>
      </c>
      <c r="Z151" s="44">
        <v>53746</v>
      </c>
      <c r="AA151" s="44">
        <v>56977</v>
      </c>
      <c r="AB151" s="44">
        <v>56592</v>
      </c>
      <c r="AC151" s="44">
        <v>57627</v>
      </c>
      <c r="AD151"/>
    </row>
    <row r="152" spans="1:30" x14ac:dyDescent="0.2">
      <c r="A152" s="49" t="s">
        <v>87</v>
      </c>
      <c r="B152" s="49" t="s">
        <v>165</v>
      </c>
      <c r="C152" s="49" t="s">
        <v>164</v>
      </c>
      <c r="D152" s="52">
        <v>30291</v>
      </c>
      <c r="E152" s="52">
        <v>31477</v>
      </c>
      <c r="F152" s="52">
        <v>32706</v>
      </c>
      <c r="G152" s="52">
        <v>32759</v>
      </c>
      <c r="H152" s="52">
        <v>32901</v>
      </c>
      <c r="I152" s="52">
        <v>33034</v>
      </c>
      <c r="J152" s="52">
        <v>32819</v>
      </c>
      <c r="K152" s="52">
        <v>33302</v>
      </c>
      <c r="L152" s="52">
        <v>34106</v>
      </c>
      <c r="M152" s="52">
        <v>34832</v>
      </c>
      <c r="N152" s="52">
        <v>34923</v>
      </c>
      <c r="O152" s="52">
        <v>33105</v>
      </c>
      <c r="P152" s="52">
        <v>34589</v>
      </c>
      <c r="Q152" s="52">
        <v>34570</v>
      </c>
      <c r="R152" s="52">
        <v>35050</v>
      </c>
      <c r="S152" s="52">
        <v>35438</v>
      </c>
      <c r="T152" s="52">
        <v>35933</v>
      </c>
      <c r="U152" s="52">
        <v>36391</v>
      </c>
      <c r="V152" s="52">
        <v>36281</v>
      </c>
      <c r="W152" s="52">
        <v>36945</v>
      </c>
      <c r="X152" s="52">
        <v>36924</v>
      </c>
      <c r="Y152" s="52">
        <v>37670</v>
      </c>
      <c r="Z152" s="52">
        <v>34268</v>
      </c>
      <c r="AA152" s="52">
        <v>35879</v>
      </c>
      <c r="AB152" s="52">
        <v>37474</v>
      </c>
      <c r="AC152" s="52">
        <v>36833</v>
      </c>
      <c r="AD152"/>
    </row>
    <row r="153" spans="1:30" x14ac:dyDescent="0.2">
      <c r="A153" s="45" t="s">
        <v>86</v>
      </c>
      <c r="B153" s="45" t="s">
        <v>163</v>
      </c>
      <c r="C153" s="45" t="s">
        <v>162</v>
      </c>
      <c r="D153" s="44">
        <v>26565</v>
      </c>
      <c r="E153" s="44">
        <v>27847</v>
      </c>
      <c r="F153" s="44">
        <v>28791</v>
      </c>
      <c r="G153" s="44">
        <v>29640</v>
      </c>
      <c r="H153" s="44">
        <v>29495</v>
      </c>
      <c r="I153" s="44">
        <v>29473</v>
      </c>
      <c r="J153" s="44">
        <v>28989</v>
      </c>
      <c r="K153" s="44">
        <v>29759</v>
      </c>
      <c r="L153" s="44">
        <v>29292</v>
      </c>
      <c r="M153" s="44">
        <v>30853</v>
      </c>
      <c r="N153" s="44">
        <v>30982</v>
      </c>
      <c r="O153" s="44">
        <v>29112</v>
      </c>
      <c r="P153" s="44">
        <v>30140</v>
      </c>
      <c r="Q153" s="44">
        <v>30031</v>
      </c>
      <c r="R153" s="44">
        <v>31299</v>
      </c>
      <c r="S153" s="44">
        <v>32107</v>
      </c>
      <c r="T153" s="44">
        <v>32892</v>
      </c>
      <c r="U153" s="44">
        <v>34284</v>
      </c>
      <c r="V153" s="44">
        <v>35309</v>
      </c>
      <c r="W153" s="44">
        <v>36903</v>
      </c>
      <c r="X153" s="44">
        <v>38177</v>
      </c>
      <c r="Y153" s="44">
        <v>39279</v>
      </c>
      <c r="Z153" s="44">
        <v>36771</v>
      </c>
      <c r="AA153" s="44">
        <v>40435</v>
      </c>
      <c r="AB153" s="44">
        <v>43032</v>
      </c>
      <c r="AC153" s="44">
        <v>42665</v>
      </c>
      <c r="AD153"/>
    </row>
    <row r="154" spans="1:30" x14ac:dyDescent="0.2">
      <c r="A154" s="45" t="s">
        <v>86</v>
      </c>
      <c r="B154" s="45" t="s">
        <v>161</v>
      </c>
      <c r="C154" s="45" t="s">
        <v>160</v>
      </c>
      <c r="D154" s="44">
        <v>19889</v>
      </c>
      <c r="E154" s="44">
        <v>20519</v>
      </c>
      <c r="F154" s="44">
        <v>20972</v>
      </c>
      <c r="G154" s="44">
        <v>21465</v>
      </c>
      <c r="H154" s="44">
        <v>21533</v>
      </c>
      <c r="I154" s="44">
        <v>21539</v>
      </c>
      <c r="J154" s="44">
        <v>21371</v>
      </c>
      <c r="K154" s="44">
        <v>21565</v>
      </c>
      <c r="L154" s="44">
        <v>21908</v>
      </c>
      <c r="M154" s="44">
        <v>21567</v>
      </c>
      <c r="N154" s="44">
        <v>21699</v>
      </c>
      <c r="O154" s="44">
        <v>20756</v>
      </c>
      <c r="P154" s="44">
        <v>21326</v>
      </c>
      <c r="Q154" s="44">
        <v>21416</v>
      </c>
      <c r="R154" s="44">
        <v>20945</v>
      </c>
      <c r="S154" s="44">
        <v>21226</v>
      </c>
      <c r="T154" s="44">
        <v>21585</v>
      </c>
      <c r="U154" s="44">
        <v>21889</v>
      </c>
      <c r="V154" s="44">
        <v>22418</v>
      </c>
      <c r="W154" s="44">
        <v>22676</v>
      </c>
      <c r="X154" s="44">
        <v>22502</v>
      </c>
      <c r="Y154" s="44">
        <v>22998</v>
      </c>
      <c r="Z154" s="44">
        <v>21017</v>
      </c>
      <c r="AA154" s="44">
        <v>22795</v>
      </c>
      <c r="AB154" s="44">
        <v>22907</v>
      </c>
      <c r="AC154" s="44">
        <v>22468</v>
      </c>
      <c r="AD154"/>
    </row>
    <row r="155" spans="1:30" x14ac:dyDescent="0.2">
      <c r="A155" s="45" t="s">
        <v>86</v>
      </c>
      <c r="B155" s="45" t="s">
        <v>159</v>
      </c>
      <c r="C155" s="45" t="s">
        <v>158</v>
      </c>
      <c r="D155" s="44">
        <v>38704</v>
      </c>
      <c r="E155" s="44">
        <v>40409</v>
      </c>
      <c r="F155" s="44">
        <v>42656</v>
      </c>
      <c r="G155" s="44">
        <v>43046</v>
      </c>
      <c r="H155" s="44">
        <v>42897</v>
      </c>
      <c r="I155" s="44">
        <v>43373</v>
      </c>
      <c r="J155" s="44">
        <v>43529</v>
      </c>
      <c r="K155" s="44">
        <v>43888</v>
      </c>
      <c r="L155" s="44">
        <v>45584</v>
      </c>
      <c r="M155" s="44">
        <v>44984</v>
      </c>
      <c r="N155" s="44">
        <v>44838</v>
      </c>
      <c r="O155" s="44">
        <v>42803</v>
      </c>
      <c r="P155" s="44">
        <v>44418</v>
      </c>
      <c r="Q155" s="44">
        <v>44535</v>
      </c>
      <c r="R155" s="44">
        <v>44742</v>
      </c>
      <c r="S155" s="44">
        <v>45636</v>
      </c>
      <c r="T155" s="44">
        <v>47172</v>
      </c>
      <c r="U155" s="44">
        <v>48163</v>
      </c>
      <c r="V155" s="44">
        <v>47698</v>
      </c>
      <c r="W155" s="44">
        <v>48099</v>
      </c>
      <c r="X155" s="44">
        <v>48603</v>
      </c>
      <c r="Y155" s="44">
        <v>50147</v>
      </c>
      <c r="Z155" s="44">
        <v>47386</v>
      </c>
      <c r="AA155" s="44">
        <v>47938</v>
      </c>
      <c r="AB155" s="44">
        <v>48436</v>
      </c>
      <c r="AC155" s="44">
        <v>46461</v>
      </c>
      <c r="AD155"/>
    </row>
    <row r="156" spans="1:30" x14ac:dyDescent="0.2">
      <c r="A156" s="45" t="s">
        <v>86</v>
      </c>
      <c r="B156" s="45" t="s">
        <v>157</v>
      </c>
      <c r="C156" s="45" t="s">
        <v>156</v>
      </c>
      <c r="D156" s="44">
        <v>45027</v>
      </c>
      <c r="E156" s="44">
        <v>45990</v>
      </c>
      <c r="F156" s="44">
        <v>48167</v>
      </c>
      <c r="G156" s="44">
        <v>46871</v>
      </c>
      <c r="H156" s="44">
        <v>46698</v>
      </c>
      <c r="I156" s="44">
        <v>45648</v>
      </c>
      <c r="J156" s="44">
        <v>45444</v>
      </c>
      <c r="K156" s="44">
        <v>47285</v>
      </c>
      <c r="L156" s="44">
        <v>47613</v>
      </c>
      <c r="M156" s="44">
        <v>51509</v>
      </c>
      <c r="N156" s="44">
        <v>51151</v>
      </c>
      <c r="O156" s="44">
        <v>47957</v>
      </c>
      <c r="P156" s="44">
        <v>51077</v>
      </c>
      <c r="Q156" s="44">
        <v>49174</v>
      </c>
      <c r="R156" s="44">
        <v>50555</v>
      </c>
      <c r="S156" s="44">
        <v>50317</v>
      </c>
      <c r="T156" s="44">
        <v>49966</v>
      </c>
      <c r="U156" s="44">
        <v>48644</v>
      </c>
      <c r="V156" s="44">
        <v>46301</v>
      </c>
      <c r="W156" s="44">
        <v>46528</v>
      </c>
      <c r="X156" s="44">
        <v>43323</v>
      </c>
      <c r="Y156" s="44">
        <v>43153</v>
      </c>
      <c r="Z156" s="44">
        <v>38036</v>
      </c>
      <c r="AA156" s="44">
        <v>39846</v>
      </c>
      <c r="AB156" s="44">
        <v>42255</v>
      </c>
      <c r="AC156" s="44">
        <v>42453</v>
      </c>
      <c r="AD156"/>
    </row>
    <row r="157" spans="1:30" x14ac:dyDescent="0.2">
      <c r="A157" s="45" t="s">
        <v>86</v>
      </c>
      <c r="B157" s="45" t="s">
        <v>155</v>
      </c>
      <c r="C157" s="45" t="s">
        <v>154</v>
      </c>
      <c r="D157" s="44">
        <v>23994</v>
      </c>
      <c r="E157" s="44">
        <v>25527</v>
      </c>
      <c r="F157" s="44">
        <v>25957</v>
      </c>
      <c r="G157" s="44">
        <v>26310</v>
      </c>
      <c r="H157" s="44">
        <v>27009</v>
      </c>
      <c r="I157" s="44">
        <v>27479</v>
      </c>
      <c r="J157" s="44">
        <v>27028</v>
      </c>
      <c r="K157" s="44">
        <v>26854</v>
      </c>
      <c r="L157" s="44">
        <v>27310</v>
      </c>
      <c r="M157" s="44">
        <v>27415</v>
      </c>
      <c r="N157" s="44">
        <v>27626</v>
      </c>
      <c r="O157" s="44">
        <v>25704</v>
      </c>
      <c r="P157" s="44">
        <v>26616</v>
      </c>
      <c r="Q157" s="44">
        <v>26799</v>
      </c>
      <c r="R157" s="44">
        <v>27208</v>
      </c>
      <c r="S157" s="44">
        <v>27504</v>
      </c>
      <c r="T157" s="44">
        <v>27124</v>
      </c>
      <c r="U157" s="44">
        <v>27651</v>
      </c>
      <c r="V157" s="44">
        <v>27825</v>
      </c>
      <c r="W157" s="44">
        <v>29103</v>
      </c>
      <c r="X157" s="44">
        <v>29547</v>
      </c>
      <c r="Y157" s="44">
        <v>30109</v>
      </c>
      <c r="Z157" s="44">
        <v>27777</v>
      </c>
      <c r="AA157" s="44">
        <v>29579</v>
      </c>
      <c r="AB157" s="44">
        <v>29966</v>
      </c>
      <c r="AC157" s="44">
        <v>29597</v>
      </c>
      <c r="AD157"/>
    </row>
    <row r="158" spans="1:30" x14ac:dyDescent="0.2">
      <c r="A158" s="45" t="s">
        <v>86</v>
      </c>
      <c r="B158" s="45" t="s">
        <v>153</v>
      </c>
      <c r="C158" s="45" t="s">
        <v>152</v>
      </c>
      <c r="D158" s="44">
        <v>27931</v>
      </c>
      <c r="E158" s="44">
        <v>28998</v>
      </c>
      <c r="F158" s="44">
        <v>30067</v>
      </c>
      <c r="G158" s="44">
        <v>29534</v>
      </c>
      <c r="H158" s="44">
        <v>30058</v>
      </c>
      <c r="I158" s="44">
        <v>30373</v>
      </c>
      <c r="J158" s="44">
        <v>30118</v>
      </c>
      <c r="K158" s="44">
        <v>30165</v>
      </c>
      <c r="L158" s="44">
        <v>31643</v>
      </c>
      <c r="M158" s="44">
        <v>32521</v>
      </c>
      <c r="N158" s="44">
        <v>32664</v>
      </c>
      <c r="O158" s="44">
        <v>30844</v>
      </c>
      <c r="P158" s="44">
        <v>32041</v>
      </c>
      <c r="Q158" s="44">
        <v>32323</v>
      </c>
      <c r="R158" s="44">
        <v>32804</v>
      </c>
      <c r="S158" s="44">
        <v>32506</v>
      </c>
      <c r="T158" s="44">
        <v>32715</v>
      </c>
      <c r="U158" s="44">
        <v>33106</v>
      </c>
      <c r="V158" s="44">
        <v>33826</v>
      </c>
      <c r="W158" s="44">
        <v>34654</v>
      </c>
      <c r="X158" s="44">
        <v>35415</v>
      </c>
      <c r="Y158" s="44">
        <v>35592</v>
      </c>
      <c r="Z158" s="44">
        <v>29163</v>
      </c>
      <c r="AA158" s="44">
        <v>30655</v>
      </c>
      <c r="AB158" s="44">
        <v>35603</v>
      </c>
      <c r="AC158" s="44">
        <v>36262</v>
      </c>
      <c r="AD158"/>
    </row>
    <row r="159" spans="1:30" x14ac:dyDescent="0.2">
      <c r="A159" s="49" t="s">
        <v>87</v>
      </c>
      <c r="B159" s="49" t="s">
        <v>151</v>
      </c>
      <c r="C159" s="49" t="s">
        <v>150</v>
      </c>
      <c r="D159" s="52">
        <v>27430</v>
      </c>
      <c r="E159" s="52">
        <v>27637</v>
      </c>
      <c r="F159" s="52">
        <v>28984</v>
      </c>
      <c r="G159" s="52">
        <v>29634</v>
      </c>
      <c r="H159" s="52">
        <v>30230</v>
      </c>
      <c r="I159" s="52">
        <v>30359</v>
      </c>
      <c r="J159" s="52">
        <v>31160</v>
      </c>
      <c r="K159" s="52">
        <v>31860</v>
      </c>
      <c r="L159" s="52">
        <v>32115</v>
      </c>
      <c r="M159" s="52">
        <v>33079</v>
      </c>
      <c r="N159" s="52">
        <v>33195</v>
      </c>
      <c r="O159" s="52">
        <v>31870</v>
      </c>
      <c r="P159" s="52">
        <v>33601</v>
      </c>
      <c r="Q159" s="52">
        <v>34307</v>
      </c>
      <c r="R159" s="52">
        <v>34683</v>
      </c>
      <c r="S159" s="52">
        <v>35207</v>
      </c>
      <c r="T159" s="52">
        <v>35778</v>
      </c>
      <c r="U159" s="52">
        <v>36212</v>
      </c>
      <c r="V159" s="52">
        <v>36106</v>
      </c>
      <c r="W159" s="52">
        <v>37216</v>
      </c>
      <c r="X159" s="52">
        <v>37551</v>
      </c>
      <c r="Y159" s="52">
        <v>38620</v>
      </c>
      <c r="Z159" s="52">
        <v>34970</v>
      </c>
      <c r="AA159" s="52">
        <v>37260</v>
      </c>
      <c r="AB159" s="52">
        <v>37388</v>
      </c>
      <c r="AC159" s="52">
        <v>36582</v>
      </c>
      <c r="AD159"/>
    </row>
    <row r="160" spans="1:30" x14ac:dyDescent="0.2">
      <c r="A160" s="45" t="s">
        <v>86</v>
      </c>
      <c r="B160" s="45" t="s">
        <v>149</v>
      </c>
      <c r="C160" s="45" t="s">
        <v>148</v>
      </c>
      <c r="D160" s="44">
        <v>26341</v>
      </c>
      <c r="E160" s="44">
        <v>27010</v>
      </c>
      <c r="F160" s="44">
        <v>27836</v>
      </c>
      <c r="G160" s="44">
        <v>28651</v>
      </c>
      <c r="H160" s="44">
        <v>29224</v>
      </c>
      <c r="I160" s="44">
        <v>29368</v>
      </c>
      <c r="J160" s="44">
        <v>30177</v>
      </c>
      <c r="K160" s="44">
        <v>30611</v>
      </c>
      <c r="L160" s="44">
        <v>31161</v>
      </c>
      <c r="M160" s="44">
        <v>32476</v>
      </c>
      <c r="N160" s="44">
        <v>32881</v>
      </c>
      <c r="O160" s="44">
        <v>31251</v>
      </c>
      <c r="P160" s="44">
        <v>31762</v>
      </c>
      <c r="Q160" s="44">
        <v>32216</v>
      </c>
      <c r="R160" s="44">
        <v>33088</v>
      </c>
      <c r="S160" s="44">
        <v>33640</v>
      </c>
      <c r="T160" s="44">
        <v>34240</v>
      </c>
      <c r="U160" s="44">
        <v>33667</v>
      </c>
      <c r="V160" s="44">
        <v>33135</v>
      </c>
      <c r="W160" s="44">
        <v>35245</v>
      </c>
      <c r="X160" s="44">
        <v>35264</v>
      </c>
      <c r="Y160" s="44">
        <v>37199</v>
      </c>
      <c r="Z160" s="44">
        <v>34281</v>
      </c>
      <c r="AA160" s="44">
        <v>37044</v>
      </c>
      <c r="AB160" s="44">
        <v>37370</v>
      </c>
      <c r="AC160" s="44">
        <v>37845</v>
      </c>
      <c r="AD160"/>
    </row>
    <row r="161" spans="1:30" x14ac:dyDescent="0.2">
      <c r="A161" s="45" t="s">
        <v>86</v>
      </c>
      <c r="B161" s="45" t="s">
        <v>147</v>
      </c>
      <c r="C161" s="45" t="s">
        <v>146</v>
      </c>
      <c r="D161" s="44">
        <v>31136</v>
      </c>
      <c r="E161" s="44">
        <v>31210</v>
      </c>
      <c r="F161" s="44">
        <v>31620</v>
      </c>
      <c r="G161" s="44">
        <v>31567</v>
      </c>
      <c r="H161" s="44">
        <v>32607</v>
      </c>
      <c r="I161" s="44">
        <v>32981</v>
      </c>
      <c r="J161" s="44">
        <v>34770</v>
      </c>
      <c r="K161" s="44">
        <v>35835</v>
      </c>
      <c r="L161" s="44">
        <v>34123</v>
      </c>
      <c r="M161" s="44">
        <v>36871</v>
      </c>
      <c r="N161" s="44">
        <v>38174</v>
      </c>
      <c r="O161" s="44">
        <v>36250</v>
      </c>
      <c r="P161" s="44">
        <v>38299</v>
      </c>
      <c r="Q161" s="44">
        <v>39259</v>
      </c>
      <c r="R161" s="44">
        <v>38899</v>
      </c>
      <c r="S161" s="44">
        <v>40923</v>
      </c>
      <c r="T161" s="44">
        <v>40749</v>
      </c>
      <c r="U161" s="44">
        <v>41762</v>
      </c>
      <c r="V161" s="44">
        <v>39902</v>
      </c>
      <c r="W161" s="44">
        <v>42697</v>
      </c>
      <c r="X161" s="44">
        <v>44860</v>
      </c>
      <c r="Y161" s="44">
        <v>43981</v>
      </c>
      <c r="Z161" s="44">
        <v>38183</v>
      </c>
      <c r="AA161" s="44">
        <v>41109</v>
      </c>
      <c r="AB161" s="44">
        <v>39491</v>
      </c>
      <c r="AC161" s="44">
        <v>38330</v>
      </c>
      <c r="AD161"/>
    </row>
    <row r="162" spans="1:30" x14ac:dyDescent="0.2">
      <c r="A162" s="45" t="s">
        <v>86</v>
      </c>
      <c r="B162" s="45" t="s">
        <v>145</v>
      </c>
      <c r="C162" s="45" t="s">
        <v>144</v>
      </c>
      <c r="D162" s="44">
        <v>19945</v>
      </c>
      <c r="E162" s="44">
        <v>20183</v>
      </c>
      <c r="F162" s="44">
        <v>20493</v>
      </c>
      <c r="G162" s="44">
        <v>20509</v>
      </c>
      <c r="H162" s="44">
        <v>21027</v>
      </c>
      <c r="I162" s="44">
        <v>21181</v>
      </c>
      <c r="J162" s="44">
        <v>21777</v>
      </c>
      <c r="K162" s="44">
        <v>21701</v>
      </c>
      <c r="L162" s="44">
        <v>22270</v>
      </c>
      <c r="M162" s="44">
        <v>21809</v>
      </c>
      <c r="N162" s="44">
        <v>21861</v>
      </c>
      <c r="O162" s="44">
        <v>20901</v>
      </c>
      <c r="P162" s="44">
        <v>21839</v>
      </c>
      <c r="Q162" s="44">
        <v>22527</v>
      </c>
      <c r="R162" s="44">
        <v>22725</v>
      </c>
      <c r="S162" s="44">
        <v>24040</v>
      </c>
      <c r="T162" s="44">
        <v>24445</v>
      </c>
      <c r="U162" s="44">
        <v>24251</v>
      </c>
      <c r="V162" s="44">
        <v>23652</v>
      </c>
      <c r="W162" s="44">
        <v>24197</v>
      </c>
      <c r="X162" s="44">
        <v>23868</v>
      </c>
      <c r="Y162" s="44">
        <v>24516</v>
      </c>
      <c r="Z162" s="44">
        <v>22029</v>
      </c>
      <c r="AA162" s="44">
        <v>23866</v>
      </c>
      <c r="AB162" s="44">
        <v>25102</v>
      </c>
      <c r="AC162" s="44">
        <v>24582</v>
      </c>
      <c r="AD162"/>
    </row>
    <row r="163" spans="1:30" x14ac:dyDescent="0.2">
      <c r="A163" s="45" t="s">
        <v>86</v>
      </c>
      <c r="B163" s="45" t="s">
        <v>143</v>
      </c>
      <c r="C163" s="45" t="s">
        <v>142</v>
      </c>
      <c r="D163" s="44">
        <v>23825</v>
      </c>
      <c r="E163" s="44">
        <v>23842</v>
      </c>
      <c r="F163" s="44">
        <v>25014</v>
      </c>
      <c r="G163" s="44">
        <v>26008</v>
      </c>
      <c r="H163" s="44">
        <v>26428</v>
      </c>
      <c r="I163" s="44">
        <v>26424</v>
      </c>
      <c r="J163" s="44">
        <v>27080</v>
      </c>
      <c r="K163" s="44">
        <v>27714</v>
      </c>
      <c r="L163" s="44">
        <v>28512</v>
      </c>
      <c r="M163" s="44">
        <v>28705</v>
      </c>
      <c r="N163" s="44">
        <v>28552</v>
      </c>
      <c r="O163" s="44">
        <v>27048</v>
      </c>
      <c r="P163" s="44">
        <v>28618</v>
      </c>
      <c r="Q163" s="44">
        <v>29394</v>
      </c>
      <c r="R163" s="44">
        <v>29851</v>
      </c>
      <c r="S163" s="44">
        <v>30381</v>
      </c>
      <c r="T163" s="44">
        <v>31284</v>
      </c>
      <c r="U163" s="44">
        <v>31134</v>
      </c>
      <c r="V163" s="44">
        <v>31414</v>
      </c>
      <c r="W163" s="44">
        <v>31969</v>
      </c>
      <c r="X163" s="44">
        <v>30546</v>
      </c>
      <c r="Y163" s="44">
        <v>30896</v>
      </c>
      <c r="Z163" s="44">
        <v>28297</v>
      </c>
      <c r="AA163" s="44">
        <v>29972</v>
      </c>
      <c r="AB163" s="44">
        <v>30322</v>
      </c>
      <c r="AC163" s="44">
        <v>29611</v>
      </c>
      <c r="AD163"/>
    </row>
    <row r="164" spans="1:30" x14ac:dyDescent="0.2">
      <c r="A164" s="45" t="s">
        <v>86</v>
      </c>
      <c r="B164" s="45" t="s">
        <v>141</v>
      </c>
      <c r="C164" s="45" t="s">
        <v>140</v>
      </c>
      <c r="D164" s="44">
        <v>22656</v>
      </c>
      <c r="E164" s="44">
        <v>22811</v>
      </c>
      <c r="F164" s="44">
        <v>23933</v>
      </c>
      <c r="G164" s="44">
        <v>24228</v>
      </c>
      <c r="H164" s="44">
        <v>24192</v>
      </c>
      <c r="I164" s="44">
        <v>24166</v>
      </c>
      <c r="J164" s="44">
        <v>24564</v>
      </c>
      <c r="K164" s="44">
        <v>24976</v>
      </c>
      <c r="L164" s="44">
        <v>25427</v>
      </c>
      <c r="M164" s="44">
        <v>25573</v>
      </c>
      <c r="N164" s="44">
        <v>25230</v>
      </c>
      <c r="O164" s="44">
        <v>24338</v>
      </c>
      <c r="P164" s="44">
        <v>25650</v>
      </c>
      <c r="Q164" s="44">
        <v>25943</v>
      </c>
      <c r="R164" s="44">
        <v>26116</v>
      </c>
      <c r="S164" s="44">
        <v>26294</v>
      </c>
      <c r="T164" s="44">
        <v>34010</v>
      </c>
      <c r="U164" s="44">
        <v>35358</v>
      </c>
      <c r="V164" s="44">
        <v>35658</v>
      </c>
      <c r="W164" s="44">
        <v>36541</v>
      </c>
      <c r="X164" s="44">
        <v>36675</v>
      </c>
      <c r="Y164" s="44">
        <v>37481</v>
      </c>
      <c r="Z164" s="44">
        <v>33465</v>
      </c>
      <c r="AA164" s="44">
        <v>35913</v>
      </c>
      <c r="AB164" s="44">
        <v>36175</v>
      </c>
      <c r="AC164" s="44">
        <v>35114</v>
      </c>
      <c r="AD164"/>
    </row>
    <row r="165" spans="1:30" x14ac:dyDescent="0.2">
      <c r="A165" s="45" t="s">
        <v>86</v>
      </c>
      <c r="B165" s="45" t="s">
        <v>139</v>
      </c>
      <c r="C165" s="45" t="s">
        <v>138</v>
      </c>
      <c r="D165" s="44">
        <v>32752</v>
      </c>
      <c r="E165" s="44">
        <v>33149</v>
      </c>
      <c r="F165" s="44">
        <v>35991</v>
      </c>
      <c r="G165" s="44">
        <v>37209</v>
      </c>
      <c r="H165" s="44">
        <v>38638</v>
      </c>
      <c r="I165" s="44">
        <v>38725</v>
      </c>
      <c r="J165" s="44">
        <v>39849</v>
      </c>
      <c r="K165" s="44">
        <v>40888</v>
      </c>
      <c r="L165" s="44">
        <v>40904</v>
      </c>
      <c r="M165" s="44">
        <v>42866</v>
      </c>
      <c r="N165" s="44">
        <v>42828</v>
      </c>
      <c r="O165" s="44">
        <v>41446</v>
      </c>
      <c r="P165" s="44">
        <v>43970</v>
      </c>
      <c r="Q165" s="44">
        <v>44624</v>
      </c>
      <c r="R165" s="44">
        <v>44595</v>
      </c>
      <c r="S165" s="44">
        <v>45695</v>
      </c>
      <c r="T165" s="44">
        <v>45586</v>
      </c>
      <c r="U165" s="44">
        <v>45895</v>
      </c>
      <c r="V165" s="44">
        <v>46433</v>
      </c>
      <c r="W165" s="44">
        <v>47397</v>
      </c>
      <c r="X165" s="44">
        <v>49309</v>
      </c>
      <c r="Y165" s="44">
        <v>52438</v>
      </c>
      <c r="Z165" s="44">
        <v>48542</v>
      </c>
      <c r="AA165" s="44">
        <v>50614</v>
      </c>
      <c r="AB165" s="44">
        <v>50588</v>
      </c>
      <c r="AC165" s="44">
        <v>49611</v>
      </c>
      <c r="AD165"/>
    </row>
    <row r="166" spans="1:30" x14ac:dyDescent="0.2">
      <c r="A166" s="49" t="s">
        <v>87</v>
      </c>
      <c r="B166" s="49" t="s">
        <v>137</v>
      </c>
      <c r="C166" s="49" t="s">
        <v>136</v>
      </c>
      <c r="D166" s="52">
        <v>25764</v>
      </c>
      <c r="E166" s="52">
        <v>26426</v>
      </c>
      <c r="F166" s="52">
        <v>26659</v>
      </c>
      <c r="G166" s="52">
        <v>26982</v>
      </c>
      <c r="H166" s="52">
        <v>27026</v>
      </c>
      <c r="I166" s="52">
        <v>27455</v>
      </c>
      <c r="J166" s="52">
        <v>27952</v>
      </c>
      <c r="K166" s="52">
        <v>28540</v>
      </c>
      <c r="L166" s="52">
        <v>28302</v>
      </c>
      <c r="M166" s="52">
        <v>28151</v>
      </c>
      <c r="N166" s="52">
        <v>28360</v>
      </c>
      <c r="O166" s="52">
        <v>26185</v>
      </c>
      <c r="P166" s="52">
        <v>27493</v>
      </c>
      <c r="Q166" s="52">
        <v>28014</v>
      </c>
      <c r="R166" s="52">
        <v>28023</v>
      </c>
      <c r="S166" s="52">
        <v>28237</v>
      </c>
      <c r="T166" s="52">
        <v>28528</v>
      </c>
      <c r="U166" s="52">
        <v>29280</v>
      </c>
      <c r="V166" s="52">
        <v>29789</v>
      </c>
      <c r="W166" s="52">
        <v>30062</v>
      </c>
      <c r="X166" s="52">
        <v>30270</v>
      </c>
      <c r="Y166" s="52">
        <v>30775</v>
      </c>
      <c r="Z166" s="52">
        <v>28214</v>
      </c>
      <c r="AA166" s="52">
        <v>30055</v>
      </c>
      <c r="AB166" s="52">
        <v>30476</v>
      </c>
      <c r="AC166" s="52">
        <v>29787</v>
      </c>
      <c r="AD166"/>
    </row>
    <row r="167" spans="1:30" x14ac:dyDescent="0.2">
      <c r="A167" s="45" t="s">
        <v>86</v>
      </c>
      <c r="B167" s="45" t="s">
        <v>135</v>
      </c>
      <c r="C167" s="45" t="s">
        <v>134</v>
      </c>
      <c r="D167" s="44">
        <v>20120</v>
      </c>
      <c r="E167" s="44">
        <v>20716</v>
      </c>
      <c r="F167" s="44">
        <v>20803</v>
      </c>
      <c r="G167" s="44">
        <v>21670</v>
      </c>
      <c r="H167" s="44">
        <v>22068</v>
      </c>
      <c r="I167" s="44">
        <v>22655</v>
      </c>
      <c r="J167" s="44">
        <v>23146</v>
      </c>
      <c r="K167" s="44">
        <v>23751</v>
      </c>
      <c r="L167" s="44">
        <v>24221</v>
      </c>
      <c r="M167" s="44">
        <v>24159</v>
      </c>
      <c r="N167" s="44">
        <v>24167</v>
      </c>
      <c r="O167" s="44">
        <v>22669</v>
      </c>
      <c r="P167" s="44">
        <v>23699</v>
      </c>
      <c r="Q167" s="44">
        <v>24134</v>
      </c>
      <c r="R167" s="44">
        <v>24324</v>
      </c>
      <c r="S167" s="44">
        <v>24592</v>
      </c>
      <c r="T167" s="44">
        <v>24314</v>
      </c>
      <c r="U167" s="44">
        <v>24611</v>
      </c>
      <c r="V167" s="44">
        <v>25248</v>
      </c>
      <c r="W167" s="44">
        <v>25985</v>
      </c>
      <c r="X167" s="44">
        <v>26067</v>
      </c>
      <c r="Y167" s="44">
        <v>26915</v>
      </c>
      <c r="Z167" s="44">
        <v>25423</v>
      </c>
      <c r="AA167" s="44">
        <v>26429</v>
      </c>
      <c r="AB167" s="44">
        <v>27414</v>
      </c>
      <c r="AC167" s="44">
        <v>27240</v>
      </c>
      <c r="AD167"/>
    </row>
    <row r="168" spans="1:30" x14ac:dyDescent="0.2">
      <c r="A168" s="45" t="s">
        <v>86</v>
      </c>
      <c r="B168" s="45" t="s">
        <v>133</v>
      </c>
      <c r="C168" s="45" t="s">
        <v>132</v>
      </c>
      <c r="D168" s="44">
        <v>27192</v>
      </c>
      <c r="E168" s="44">
        <v>27834</v>
      </c>
      <c r="F168" s="44">
        <v>27533</v>
      </c>
      <c r="G168" s="44">
        <v>28231</v>
      </c>
      <c r="H168" s="44">
        <v>28995</v>
      </c>
      <c r="I168" s="44">
        <v>29649</v>
      </c>
      <c r="J168" s="44">
        <v>29869</v>
      </c>
      <c r="K168" s="44">
        <v>29617</v>
      </c>
      <c r="L168" s="44">
        <v>29311</v>
      </c>
      <c r="M168" s="44">
        <v>29062</v>
      </c>
      <c r="N168" s="44">
        <v>28946</v>
      </c>
      <c r="O168" s="44">
        <v>25897</v>
      </c>
      <c r="P168" s="44">
        <v>27050</v>
      </c>
      <c r="Q168" s="44">
        <v>27457</v>
      </c>
      <c r="R168" s="44">
        <v>27552</v>
      </c>
      <c r="S168" s="44">
        <v>27940</v>
      </c>
      <c r="T168" s="44">
        <v>28682</v>
      </c>
      <c r="U168" s="44">
        <v>29545</v>
      </c>
      <c r="V168" s="44">
        <v>30634</v>
      </c>
      <c r="W168" s="44">
        <v>29484</v>
      </c>
      <c r="X168" s="44">
        <v>29453</v>
      </c>
      <c r="Y168" s="44">
        <v>30038</v>
      </c>
      <c r="Z168" s="44">
        <v>27553</v>
      </c>
      <c r="AA168" s="44">
        <v>29847</v>
      </c>
      <c r="AB168" s="44">
        <v>28595</v>
      </c>
      <c r="AC168" s="44">
        <v>27866</v>
      </c>
      <c r="AD168"/>
    </row>
    <row r="169" spans="1:30" x14ac:dyDescent="0.2">
      <c r="A169" s="45" t="s">
        <v>86</v>
      </c>
      <c r="B169" s="45" t="s">
        <v>131</v>
      </c>
      <c r="C169" s="45" t="s">
        <v>130</v>
      </c>
      <c r="D169" s="44">
        <v>22883</v>
      </c>
      <c r="E169" s="44">
        <v>23690</v>
      </c>
      <c r="F169" s="44">
        <v>24163</v>
      </c>
      <c r="G169" s="44">
        <v>24270</v>
      </c>
      <c r="H169" s="44">
        <v>23755</v>
      </c>
      <c r="I169" s="44">
        <v>24107</v>
      </c>
      <c r="J169" s="44">
        <v>24921</v>
      </c>
      <c r="K169" s="44">
        <v>25402</v>
      </c>
      <c r="L169" s="44">
        <v>24743</v>
      </c>
      <c r="M169" s="44">
        <v>24260</v>
      </c>
      <c r="N169" s="44">
        <v>24878</v>
      </c>
      <c r="O169" s="44">
        <v>22898</v>
      </c>
      <c r="P169" s="44">
        <v>23938</v>
      </c>
      <c r="Q169" s="44">
        <v>24446</v>
      </c>
      <c r="R169" s="44">
        <v>24201</v>
      </c>
      <c r="S169" s="44">
        <v>24315</v>
      </c>
      <c r="T169" s="44">
        <v>24424</v>
      </c>
      <c r="U169" s="44">
        <v>24655</v>
      </c>
      <c r="V169" s="44">
        <v>24482</v>
      </c>
      <c r="W169" s="44">
        <v>25168</v>
      </c>
      <c r="X169" s="44">
        <v>25291</v>
      </c>
      <c r="Y169" s="44">
        <v>25178</v>
      </c>
      <c r="Z169" s="44">
        <v>22415</v>
      </c>
      <c r="AA169" s="44">
        <v>24241</v>
      </c>
      <c r="AB169" s="44">
        <v>25765</v>
      </c>
      <c r="AC169" s="44">
        <v>25329</v>
      </c>
      <c r="AD169"/>
    </row>
    <row r="170" spans="1:30" x14ac:dyDescent="0.2">
      <c r="A170" s="45" t="s">
        <v>86</v>
      </c>
      <c r="B170" s="45" t="s">
        <v>129</v>
      </c>
      <c r="C170" s="45" t="s">
        <v>128</v>
      </c>
      <c r="D170" s="44">
        <v>28769</v>
      </c>
      <c r="E170" s="44">
        <v>29246</v>
      </c>
      <c r="F170" s="44">
        <v>29491</v>
      </c>
      <c r="G170" s="44">
        <v>29843</v>
      </c>
      <c r="H170" s="44">
        <v>29744</v>
      </c>
      <c r="I170" s="44">
        <v>30076</v>
      </c>
      <c r="J170" s="44">
        <v>30660</v>
      </c>
      <c r="K170" s="44">
        <v>31002</v>
      </c>
      <c r="L170" s="44">
        <v>31272</v>
      </c>
      <c r="M170" s="44">
        <v>31163</v>
      </c>
      <c r="N170" s="44">
        <v>31148</v>
      </c>
      <c r="O170" s="44">
        <v>28703</v>
      </c>
      <c r="P170" s="44">
        <v>29692</v>
      </c>
      <c r="Q170" s="44">
        <v>29963</v>
      </c>
      <c r="R170" s="44">
        <v>29889</v>
      </c>
      <c r="S170" s="44">
        <v>29867</v>
      </c>
      <c r="T170" s="44">
        <v>30617</v>
      </c>
      <c r="U170" s="44">
        <v>31042</v>
      </c>
      <c r="V170" s="44">
        <v>30968</v>
      </c>
      <c r="W170" s="44">
        <v>30932</v>
      </c>
      <c r="X170" s="44">
        <v>31138</v>
      </c>
      <c r="Y170" s="44">
        <v>32298</v>
      </c>
      <c r="Z170" s="44">
        <v>29054</v>
      </c>
      <c r="AA170" s="44">
        <v>30554</v>
      </c>
      <c r="AB170" s="44">
        <v>31133</v>
      </c>
      <c r="AC170" s="44">
        <v>30383</v>
      </c>
      <c r="AD170"/>
    </row>
    <row r="171" spans="1:30" x14ac:dyDescent="0.2">
      <c r="A171" s="45" t="s">
        <v>86</v>
      </c>
      <c r="B171" s="45" t="s">
        <v>127</v>
      </c>
      <c r="C171" s="45" t="s">
        <v>126</v>
      </c>
      <c r="D171" s="44">
        <v>33033</v>
      </c>
      <c r="E171" s="44">
        <v>33912</v>
      </c>
      <c r="F171" s="44">
        <v>34519</v>
      </c>
      <c r="G171" s="44">
        <v>34462</v>
      </c>
      <c r="H171" s="44">
        <v>34352</v>
      </c>
      <c r="I171" s="44">
        <v>34568</v>
      </c>
      <c r="J171" s="44">
        <v>35016</v>
      </c>
      <c r="K171" s="44">
        <v>36253</v>
      </c>
      <c r="L171" s="44">
        <v>35833</v>
      </c>
      <c r="M171" s="44">
        <v>35833</v>
      </c>
      <c r="N171" s="44">
        <v>35601</v>
      </c>
      <c r="O171" s="44">
        <v>33272</v>
      </c>
      <c r="P171" s="44">
        <v>35274</v>
      </c>
      <c r="Q171" s="44">
        <v>35667</v>
      </c>
      <c r="R171" s="44">
        <v>35754</v>
      </c>
      <c r="S171" s="44">
        <v>36335</v>
      </c>
      <c r="T171" s="44">
        <v>36251</v>
      </c>
      <c r="U171" s="44">
        <v>38040</v>
      </c>
      <c r="V171" s="44">
        <v>39387</v>
      </c>
      <c r="W171" s="44">
        <v>40344</v>
      </c>
      <c r="X171" s="44">
        <v>41237</v>
      </c>
      <c r="Y171" s="44">
        <v>41788</v>
      </c>
      <c r="Z171" s="44">
        <v>39053</v>
      </c>
      <c r="AA171" s="44">
        <v>41086</v>
      </c>
      <c r="AB171" s="44">
        <v>40867</v>
      </c>
      <c r="AC171" s="44">
        <v>39841</v>
      </c>
      <c r="AD171"/>
    </row>
    <row r="172" spans="1:30" x14ac:dyDescent="0.2">
      <c r="A172" s="51" t="s">
        <v>88</v>
      </c>
      <c r="B172" s="51" t="s">
        <v>125</v>
      </c>
      <c r="C172" s="51" t="s">
        <v>124</v>
      </c>
      <c r="D172" s="57">
        <v>26155</v>
      </c>
      <c r="E172" s="57">
        <v>26994</v>
      </c>
      <c r="F172" s="57">
        <v>27784</v>
      </c>
      <c r="G172" s="57">
        <v>28552</v>
      </c>
      <c r="H172" s="57">
        <v>28764</v>
      </c>
      <c r="I172" s="57">
        <v>29229</v>
      </c>
      <c r="J172" s="57">
        <v>29769</v>
      </c>
      <c r="K172" s="57">
        <v>30048</v>
      </c>
      <c r="L172" s="57">
        <v>30356</v>
      </c>
      <c r="M172" s="57">
        <v>30628</v>
      </c>
      <c r="N172" s="57">
        <v>30515</v>
      </c>
      <c r="O172" s="57">
        <v>28903</v>
      </c>
      <c r="P172" s="57">
        <v>30080</v>
      </c>
      <c r="Q172" s="57">
        <v>30298</v>
      </c>
      <c r="R172" s="57">
        <v>30439</v>
      </c>
      <c r="S172" s="57">
        <v>30518</v>
      </c>
      <c r="T172" s="57">
        <v>31436</v>
      </c>
      <c r="U172" s="57">
        <v>31283</v>
      </c>
      <c r="V172" s="57">
        <v>31505</v>
      </c>
      <c r="W172" s="57">
        <v>32377</v>
      </c>
      <c r="X172" s="57">
        <v>32453</v>
      </c>
      <c r="Y172" s="57">
        <v>32886</v>
      </c>
      <c r="Z172" s="57">
        <v>29368</v>
      </c>
      <c r="AA172" s="57">
        <v>32710</v>
      </c>
      <c r="AB172" s="57">
        <v>33404</v>
      </c>
      <c r="AC172" s="57">
        <v>32826</v>
      </c>
      <c r="AD172"/>
    </row>
    <row r="173" spans="1:30" x14ac:dyDescent="0.2">
      <c r="A173" s="49" t="s">
        <v>87</v>
      </c>
      <c r="B173" s="49" t="s">
        <v>123</v>
      </c>
      <c r="C173" s="49" t="s">
        <v>121</v>
      </c>
      <c r="D173" s="52">
        <v>20428</v>
      </c>
      <c r="E173" s="52">
        <v>20673</v>
      </c>
      <c r="F173" s="52">
        <v>21201</v>
      </c>
      <c r="G173" s="52">
        <v>21596</v>
      </c>
      <c r="H173" s="52">
        <v>22295</v>
      </c>
      <c r="I173" s="52">
        <v>23081</v>
      </c>
      <c r="J173" s="52">
        <v>23132</v>
      </c>
      <c r="K173" s="52">
        <v>23882</v>
      </c>
      <c r="L173" s="52">
        <v>24570</v>
      </c>
      <c r="M173" s="52">
        <v>23937</v>
      </c>
      <c r="N173" s="52">
        <v>23825</v>
      </c>
      <c r="O173" s="52">
        <v>22366</v>
      </c>
      <c r="P173" s="52">
        <v>22814</v>
      </c>
      <c r="Q173" s="52">
        <v>23455</v>
      </c>
      <c r="R173" s="52">
        <v>23678</v>
      </c>
      <c r="S173" s="52">
        <v>24111</v>
      </c>
      <c r="T173" s="52">
        <v>24482</v>
      </c>
      <c r="U173" s="52">
        <v>24146</v>
      </c>
      <c r="V173" s="52">
        <v>24872</v>
      </c>
      <c r="W173" s="52">
        <v>26104</v>
      </c>
      <c r="X173" s="52">
        <v>26342</v>
      </c>
      <c r="Y173" s="52">
        <v>26672</v>
      </c>
      <c r="Z173" s="52">
        <v>23111</v>
      </c>
      <c r="AA173" s="52">
        <v>26458</v>
      </c>
      <c r="AB173" s="52">
        <v>27235</v>
      </c>
      <c r="AC173" s="52">
        <v>26326</v>
      </c>
      <c r="AD173"/>
    </row>
    <row r="174" spans="1:30" x14ac:dyDescent="0.2">
      <c r="A174" s="45" t="s">
        <v>86</v>
      </c>
      <c r="B174" s="45" t="s">
        <v>122</v>
      </c>
      <c r="C174" s="45" t="s">
        <v>121</v>
      </c>
      <c r="D174" s="44">
        <v>20736</v>
      </c>
      <c r="E174" s="44">
        <v>21041</v>
      </c>
      <c r="F174" s="44">
        <v>21601</v>
      </c>
      <c r="G174" s="44">
        <v>21992</v>
      </c>
      <c r="H174" s="44">
        <v>22658</v>
      </c>
      <c r="I174" s="44">
        <v>23421</v>
      </c>
      <c r="J174" s="44">
        <v>23488</v>
      </c>
      <c r="K174" s="44">
        <v>24262</v>
      </c>
      <c r="L174" s="44">
        <v>24952</v>
      </c>
      <c r="M174" s="44">
        <v>24258</v>
      </c>
      <c r="N174" s="44">
        <v>24092</v>
      </c>
      <c r="O174" s="44">
        <v>22518</v>
      </c>
      <c r="P174" s="44">
        <v>23002</v>
      </c>
      <c r="Q174" s="44">
        <v>23579</v>
      </c>
      <c r="R174" s="44">
        <v>23740</v>
      </c>
      <c r="S174" s="44">
        <v>24156</v>
      </c>
      <c r="T174" s="44">
        <v>24448</v>
      </c>
      <c r="U174" s="44">
        <v>24159</v>
      </c>
      <c r="V174" s="44">
        <v>24868</v>
      </c>
      <c r="W174" s="44">
        <v>26122</v>
      </c>
      <c r="X174" s="44">
        <v>26349</v>
      </c>
      <c r="Y174" s="44">
        <v>26694</v>
      </c>
      <c r="Z174" s="44">
        <v>23111</v>
      </c>
      <c r="AA174" s="44">
        <v>26425</v>
      </c>
      <c r="AB174" s="44">
        <v>27235</v>
      </c>
      <c r="AC174" s="44">
        <v>26357</v>
      </c>
      <c r="AD174"/>
    </row>
    <row r="175" spans="1:30" x14ac:dyDescent="0.2">
      <c r="A175" s="49" t="s">
        <v>87</v>
      </c>
      <c r="B175" s="49" t="s">
        <v>120</v>
      </c>
      <c r="C175" s="49" t="s">
        <v>119</v>
      </c>
      <c r="D175" s="52">
        <v>22408</v>
      </c>
      <c r="E175" s="52">
        <v>23133</v>
      </c>
      <c r="F175" s="52">
        <v>23245</v>
      </c>
      <c r="G175" s="52">
        <v>23766</v>
      </c>
      <c r="H175" s="52">
        <v>24039</v>
      </c>
      <c r="I175" s="52">
        <v>24479</v>
      </c>
      <c r="J175" s="52">
        <v>25627</v>
      </c>
      <c r="K175" s="52">
        <v>25656</v>
      </c>
      <c r="L175" s="52">
        <v>26309</v>
      </c>
      <c r="M175" s="52">
        <v>25610</v>
      </c>
      <c r="N175" s="52">
        <v>25198</v>
      </c>
      <c r="O175" s="52">
        <v>24108</v>
      </c>
      <c r="P175" s="52">
        <v>25361</v>
      </c>
      <c r="Q175" s="52">
        <v>25689</v>
      </c>
      <c r="R175" s="52">
        <v>25791</v>
      </c>
      <c r="S175" s="52">
        <v>26251</v>
      </c>
      <c r="T175" s="52">
        <v>26624</v>
      </c>
      <c r="U175" s="52">
        <v>26819</v>
      </c>
      <c r="V175" s="52">
        <v>27014</v>
      </c>
      <c r="W175" s="52">
        <v>27619</v>
      </c>
      <c r="X175" s="52">
        <v>27399</v>
      </c>
      <c r="Y175" s="52">
        <v>27607</v>
      </c>
      <c r="Z175" s="52">
        <v>23807</v>
      </c>
      <c r="AA175" s="52">
        <v>27870</v>
      </c>
      <c r="AB175" s="52">
        <v>28565</v>
      </c>
      <c r="AC175" s="52">
        <v>27801</v>
      </c>
      <c r="AD175"/>
    </row>
    <row r="176" spans="1:30" x14ac:dyDescent="0.2">
      <c r="A176" s="45" t="s">
        <v>86</v>
      </c>
      <c r="B176" s="45" t="s">
        <v>118</v>
      </c>
      <c r="C176" s="45" t="s">
        <v>117</v>
      </c>
      <c r="D176" s="44">
        <v>23136</v>
      </c>
      <c r="E176" s="44">
        <v>24282</v>
      </c>
      <c r="F176" s="44">
        <v>24336</v>
      </c>
      <c r="G176" s="44">
        <v>25446</v>
      </c>
      <c r="H176" s="44">
        <v>25371</v>
      </c>
      <c r="I176" s="44">
        <v>25938</v>
      </c>
      <c r="J176" s="44">
        <v>27624</v>
      </c>
      <c r="K176" s="44">
        <v>27021</v>
      </c>
      <c r="L176" s="44">
        <v>27994</v>
      </c>
      <c r="M176" s="44">
        <v>27140</v>
      </c>
      <c r="N176" s="44">
        <v>26735</v>
      </c>
      <c r="O176" s="44">
        <v>25347</v>
      </c>
      <c r="P176" s="44">
        <v>26248</v>
      </c>
      <c r="Q176" s="44">
        <v>26831</v>
      </c>
      <c r="R176" s="44">
        <v>26567</v>
      </c>
      <c r="S176" s="44">
        <v>26654</v>
      </c>
      <c r="T176" s="44">
        <v>26765</v>
      </c>
      <c r="U176" s="44">
        <v>26851</v>
      </c>
      <c r="V176" s="44">
        <v>27334</v>
      </c>
      <c r="W176" s="44">
        <v>27662</v>
      </c>
      <c r="X176" s="44">
        <v>27889</v>
      </c>
      <c r="Y176" s="44">
        <v>28044</v>
      </c>
      <c r="Z176" s="44">
        <v>24005</v>
      </c>
      <c r="AA176" s="44">
        <v>28300</v>
      </c>
      <c r="AB176" s="44">
        <v>28689</v>
      </c>
      <c r="AC176" s="44">
        <v>27989</v>
      </c>
      <c r="AD176"/>
    </row>
    <row r="177" spans="1:30" x14ac:dyDescent="0.2">
      <c r="A177" s="45" t="s">
        <v>86</v>
      </c>
      <c r="B177" s="45" t="s">
        <v>116</v>
      </c>
      <c r="C177" s="45" t="s">
        <v>115</v>
      </c>
      <c r="D177" s="44">
        <v>20827</v>
      </c>
      <c r="E177" s="44">
        <v>21214</v>
      </c>
      <c r="F177" s="44">
        <v>20999</v>
      </c>
      <c r="G177" s="44">
        <v>21125</v>
      </c>
      <c r="H177" s="44">
        <v>20962</v>
      </c>
      <c r="I177" s="44">
        <v>21070</v>
      </c>
      <c r="J177" s="44">
        <v>22492</v>
      </c>
      <c r="K177" s="44">
        <v>22596</v>
      </c>
      <c r="L177" s="44">
        <v>23169</v>
      </c>
      <c r="M177" s="44">
        <v>22586</v>
      </c>
      <c r="N177" s="44">
        <v>21983</v>
      </c>
      <c r="O177" s="44">
        <v>20709</v>
      </c>
      <c r="P177" s="44">
        <v>21664</v>
      </c>
      <c r="Q177" s="44">
        <v>21691</v>
      </c>
      <c r="R177" s="44">
        <v>21473</v>
      </c>
      <c r="S177" s="44">
        <v>21745</v>
      </c>
      <c r="T177" s="44">
        <v>21351</v>
      </c>
      <c r="U177" s="44">
        <v>20794</v>
      </c>
      <c r="V177" s="44">
        <v>20510</v>
      </c>
      <c r="W177" s="44">
        <v>20236</v>
      </c>
      <c r="X177" s="44">
        <v>19356</v>
      </c>
      <c r="Y177" s="44">
        <v>19459</v>
      </c>
      <c r="Z177" s="44">
        <v>16304</v>
      </c>
      <c r="AA177" s="44">
        <v>19665</v>
      </c>
      <c r="AB177" s="44">
        <v>20067</v>
      </c>
      <c r="AC177" s="44">
        <v>19584</v>
      </c>
      <c r="AD177"/>
    </row>
    <row r="178" spans="1:30" x14ac:dyDescent="0.2">
      <c r="A178" s="45" t="s">
        <v>86</v>
      </c>
      <c r="B178" s="45" t="s">
        <v>114</v>
      </c>
      <c r="C178" s="45" t="s">
        <v>113</v>
      </c>
      <c r="D178" s="44">
        <v>23391</v>
      </c>
      <c r="E178" s="44">
        <v>24154</v>
      </c>
      <c r="F178" s="44">
        <v>24365</v>
      </c>
      <c r="G178" s="44">
        <v>24862</v>
      </c>
      <c r="H178" s="44">
        <v>25240</v>
      </c>
      <c r="I178" s="44">
        <v>25657</v>
      </c>
      <c r="J178" s="44">
        <v>26687</v>
      </c>
      <c r="K178" s="44">
        <v>26767</v>
      </c>
      <c r="L178" s="44">
        <v>27405</v>
      </c>
      <c r="M178" s="44">
        <v>26683</v>
      </c>
      <c r="N178" s="44">
        <v>26191</v>
      </c>
      <c r="O178" s="44">
        <v>24998</v>
      </c>
      <c r="P178" s="44">
        <v>26367</v>
      </c>
      <c r="Q178" s="44">
        <v>26743</v>
      </c>
      <c r="R178" s="44">
        <v>26809</v>
      </c>
      <c r="S178" s="44">
        <v>27345</v>
      </c>
      <c r="T178" s="44">
        <v>27908</v>
      </c>
      <c r="U178" s="44">
        <v>28291</v>
      </c>
      <c r="V178" s="44">
        <v>28364</v>
      </c>
      <c r="W178" s="44">
        <v>29127</v>
      </c>
      <c r="X178" s="44">
        <v>28920</v>
      </c>
      <c r="Y178" s="44">
        <v>29059</v>
      </c>
      <c r="Z178" s="44">
        <v>25195</v>
      </c>
      <c r="AA178" s="44">
        <v>29305</v>
      </c>
      <c r="AB178" s="44">
        <v>29959</v>
      </c>
      <c r="AC178" s="44">
        <v>29139</v>
      </c>
      <c r="AD178"/>
    </row>
    <row r="179" spans="1:30" x14ac:dyDescent="0.2">
      <c r="A179" s="49" t="s">
        <v>87</v>
      </c>
      <c r="B179" s="49" t="s">
        <v>112</v>
      </c>
      <c r="C179" s="49" t="s">
        <v>111</v>
      </c>
      <c r="D179" s="52">
        <v>30895</v>
      </c>
      <c r="E179" s="52">
        <v>31879</v>
      </c>
      <c r="F179" s="52">
        <v>33541</v>
      </c>
      <c r="G179" s="52">
        <v>35235</v>
      </c>
      <c r="H179" s="52">
        <v>35857</v>
      </c>
      <c r="I179" s="52">
        <v>36552</v>
      </c>
      <c r="J179" s="52">
        <v>37216</v>
      </c>
      <c r="K179" s="52">
        <v>37032</v>
      </c>
      <c r="L179" s="52">
        <v>37317</v>
      </c>
      <c r="M179" s="52">
        <v>38876</v>
      </c>
      <c r="N179" s="52">
        <v>39118</v>
      </c>
      <c r="O179" s="52">
        <v>37176</v>
      </c>
      <c r="P179" s="52">
        <v>38898</v>
      </c>
      <c r="Q179" s="52">
        <v>38911</v>
      </c>
      <c r="R179" s="52">
        <v>39659</v>
      </c>
      <c r="S179" s="52">
        <v>39009</v>
      </c>
      <c r="T179" s="52">
        <v>40450</v>
      </c>
      <c r="U179" s="52">
        <v>40299</v>
      </c>
      <c r="V179" s="52">
        <v>41011</v>
      </c>
      <c r="W179" s="52">
        <v>42008</v>
      </c>
      <c r="X179" s="52">
        <v>41351</v>
      </c>
      <c r="Y179" s="52">
        <v>42235</v>
      </c>
      <c r="Z179" s="52">
        <v>38258</v>
      </c>
      <c r="AA179" s="52">
        <v>43223</v>
      </c>
      <c r="AB179" s="52">
        <v>43911</v>
      </c>
      <c r="AC179" s="52">
        <v>44232</v>
      </c>
      <c r="AD179"/>
    </row>
    <row r="180" spans="1:30" x14ac:dyDescent="0.2">
      <c r="A180" s="45" t="s">
        <v>86</v>
      </c>
      <c r="B180" s="45" t="s">
        <v>110</v>
      </c>
      <c r="C180" s="45" t="s">
        <v>109</v>
      </c>
      <c r="D180" s="44">
        <v>33663</v>
      </c>
      <c r="E180" s="44">
        <v>34300</v>
      </c>
      <c r="F180" s="44">
        <v>35727</v>
      </c>
      <c r="G180" s="44">
        <v>37563</v>
      </c>
      <c r="H180" s="44">
        <v>37835</v>
      </c>
      <c r="I180" s="44">
        <v>38127</v>
      </c>
      <c r="J180" s="44">
        <v>38860</v>
      </c>
      <c r="K180" s="44">
        <v>37861</v>
      </c>
      <c r="L180" s="44">
        <v>38072</v>
      </c>
      <c r="M180" s="44">
        <v>39715</v>
      </c>
      <c r="N180" s="44">
        <v>39886</v>
      </c>
      <c r="O180" s="44">
        <v>38171</v>
      </c>
      <c r="P180" s="44">
        <v>39454</v>
      </c>
      <c r="Q180" s="44">
        <v>38841</v>
      </c>
      <c r="R180" s="44">
        <v>39524</v>
      </c>
      <c r="S180" s="44">
        <v>38891</v>
      </c>
      <c r="T180" s="44">
        <v>39371</v>
      </c>
      <c r="U180" s="44">
        <v>39649</v>
      </c>
      <c r="V180" s="44">
        <v>40792</v>
      </c>
      <c r="W180" s="44">
        <v>42431</v>
      </c>
      <c r="X180" s="44">
        <v>40742</v>
      </c>
      <c r="Y180" s="44">
        <v>41496</v>
      </c>
      <c r="Z180" s="44">
        <v>36527</v>
      </c>
      <c r="AA180" s="44">
        <v>42572</v>
      </c>
      <c r="AB180" s="44">
        <v>43147</v>
      </c>
      <c r="AC180" s="44">
        <v>43309</v>
      </c>
      <c r="AD180"/>
    </row>
    <row r="181" spans="1:30" x14ac:dyDescent="0.2">
      <c r="A181" s="45" t="s">
        <v>86</v>
      </c>
      <c r="B181" s="45" t="s">
        <v>108</v>
      </c>
      <c r="C181" s="45" t="s">
        <v>107</v>
      </c>
      <c r="D181" s="44">
        <v>28612</v>
      </c>
      <c r="E181" s="44">
        <v>29849</v>
      </c>
      <c r="F181" s="44">
        <v>31672</v>
      </c>
      <c r="G181" s="44">
        <v>33245</v>
      </c>
      <c r="H181" s="44">
        <v>34134</v>
      </c>
      <c r="I181" s="44">
        <v>35148</v>
      </c>
      <c r="J181" s="44">
        <v>35762</v>
      </c>
      <c r="K181" s="44">
        <v>36273</v>
      </c>
      <c r="L181" s="44">
        <v>36626</v>
      </c>
      <c r="M181" s="44">
        <v>38123</v>
      </c>
      <c r="N181" s="44">
        <v>38430</v>
      </c>
      <c r="O181" s="44">
        <v>36298</v>
      </c>
      <c r="P181" s="44">
        <v>38424</v>
      </c>
      <c r="Q181" s="44">
        <v>39021</v>
      </c>
      <c r="R181" s="44">
        <v>39834</v>
      </c>
      <c r="S181" s="44">
        <v>39172</v>
      </c>
      <c r="T181" s="44">
        <v>41522</v>
      </c>
      <c r="U181" s="44">
        <v>40973</v>
      </c>
      <c r="V181" s="44">
        <v>41267</v>
      </c>
      <c r="W181" s="44">
        <v>41649</v>
      </c>
      <c r="X181" s="44">
        <v>42002</v>
      </c>
      <c r="Y181" s="44">
        <v>43016</v>
      </c>
      <c r="Z181" s="44">
        <v>40014</v>
      </c>
      <c r="AA181" s="44">
        <v>43859</v>
      </c>
      <c r="AB181" s="44">
        <v>44655</v>
      </c>
      <c r="AC181" s="44">
        <v>45125</v>
      </c>
      <c r="AD181"/>
    </row>
    <row r="182" spans="1:30" x14ac:dyDescent="0.2">
      <c r="A182" s="49" t="s">
        <v>87</v>
      </c>
      <c r="B182" s="49" t="s">
        <v>106</v>
      </c>
      <c r="C182" s="49" t="s">
        <v>105</v>
      </c>
      <c r="D182" s="52">
        <v>25585</v>
      </c>
      <c r="E182" s="52">
        <v>26639</v>
      </c>
      <c r="F182" s="52">
        <v>27426</v>
      </c>
      <c r="G182" s="52">
        <v>27384</v>
      </c>
      <c r="H182" s="52">
        <v>27249</v>
      </c>
      <c r="I182" s="52">
        <v>27509</v>
      </c>
      <c r="J182" s="52">
        <v>27987</v>
      </c>
      <c r="K182" s="52">
        <v>28395</v>
      </c>
      <c r="L182" s="52">
        <v>28809</v>
      </c>
      <c r="M182" s="52">
        <v>28370</v>
      </c>
      <c r="N182" s="52">
        <v>28137</v>
      </c>
      <c r="O182" s="52">
        <v>26601</v>
      </c>
      <c r="P182" s="52">
        <v>27127</v>
      </c>
      <c r="Q182" s="52">
        <v>27233</v>
      </c>
      <c r="R182" s="52">
        <v>26966</v>
      </c>
      <c r="S182" s="52">
        <v>27108</v>
      </c>
      <c r="T182" s="52">
        <v>27819</v>
      </c>
      <c r="U182" s="52">
        <v>27569</v>
      </c>
      <c r="V182" s="52">
        <v>27846</v>
      </c>
      <c r="W182" s="52">
        <v>28891</v>
      </c>
      <c r="X182" s="52">
        <v>29014</v>
      </c>
      <c r="Y182" s="52">
        <v>29379</v>
      </c>
      <c r="Z182" s="52">
        <v>26755</v>
      </c>
      <c r="AA182" s="52">
        <v>28908</v>
      </c>
      <c r="AB182" s="52">
        <v>29606</v>
      </c>
      <c r="AC182" s="52">
        <v>29327</v>
      </c>
      <c r="AD182"/>
    </row>
    <row r="183" spans="1:30" x14ac:dyDescent="0.2">
      <c r="A183" s="45" t="s">
        <v>86</v>
      </c>
      <c r="B183" s="45" t="s">
        <v>104</v>
      </c>
      <c r="C183" s="45" t="s">
        <v>103</v>
      </c>
      <c r="D183" s="44">
        <v>21973</v>
      </c>
      <c r="E183" s="44">
        <v>22458</v>
      </c>
      <c r="F183" s="44">
        <v>22952</v>
      </c>
      <c r="G183" s="44">
        <v>23244</v>
      </c>
      <c r="H183" s="44">
        <v>23357</v>
      </c>
      <c r="I183" s="44">
        <v>23557</v>
      </c>
      <c r="J183" s="44">
        <v>24190</v>
      </c>
      <c r="K183" s="44">
        <v>23939</v>
      </c>
      <c r="L183" s="44">
        <v>24212</v>
      </c>
      <c r="M183" s="44">
        <v>24123</v>
      </c>
      <c r="N183" s="44">
        <v>23551</v>
      </c>
      <c r="O183" s="44">
        <v>22130</v>
      </c>
      <c r="P183" s="44">
        <v>22927</v>
      </c>
      <c r="Q183" s="44">
        <v>23310</v>
      </c>
      <c r="R183" s="44">
        <v>23581</v>
      </c>
      <c r="S183" s="44">
        <v>24117</v>
      </c>
      <c r="T183" s="44">
        <v>24764</v>
      </c>
      <c r="U183" s="44">
        <v>24352</v>
      </c>
      <c r="V183" s="44">
        <v>25128</v>
      </c>
      <c r="W183" s="44">
        <v>24991</v>
      </c>
      <c r="X183" s="44">
        <v>25414</v>
      </c>
      <c r="Y183" s="44">
        <v>25702</v>
      </c>
      <c r="Z183" s="44">
        <v>23318</v>
      </c>
      <c r="AA183" s="44">
        <v>26255</v>
      </c>
      <c r="AB183" s="44">
        <v>27457</v>
      </c>
      <c r="AC183" s="44">
        <v>27605</v>
      </c>
      <c r="AD183"/>
    </row>
    <row r="184" spans="1:30" x14ac:dyDescent="0.2">
      <c r="A184" s="45" t="s">
        <v>86</v>
      </c>
      <c r="B184" s="45" t="s">
        <v>102</v>
      </c>
      <c r="C184" s="45" t="s">
        <v>101</v>
      </c>
      <c r="D184" s="44">
        <v>24227</v>
      </c>
      <c r="E184" s="44">
        <v>25297</v>
      </c>
      <c r="F184" s="44">
        <v>26227</v>
      </c>
      <c r="G184" s="44">
        <v>25997</v>
      </c>
      <c r="H184" s="44">
        <v>26017</v>
      </c>
      <c r="I184" s="44">
        <v>26220</v>
      </c>
      <c r="J184" s="44">
        <v>26808</v>
      </c>
      <c r="K184" s="44">
        <v>27413</v>
      </c>
      <c r="L184" s="44">
        <v>28074</v>
      </c>
      <c r="M184" s="44">
        <v>27224</v>
      </c>
      <c r="N184" s="44">
        <v>26861</v>
      </c>
      <c r="O184" s="44">
        <v>25468</v>
      </c>
      <c r="P184" s="44">
        <v>26053</v>
      </c>
      <c r="Q184" s="44">
        <v>26476</v>
      </c>
      <c r="R184" s="44">
        <v>26005</v>
      </c>
      <c r="S184" s="44">
        <v>25738</v>
      </c>
      <c r="T184" s="44">
        <v>26815</v>
      </c>
      <c r="U184" s="44">
        <v>26466</v>
      </c>
      <c r="V184" s="44">
        <v>26387</v>
      </c>
      <c r="W184" s="44">
        <v>27609</v>
      </c>
      <c r="X184" s="44">
        <v>28037</v>
      </c>
      <c r="Y184" s="44">
        <v>28179</v>
      </c>
      <c r="Z184" s="44">
        <v>25808</v>
      </c>
      <c r="AA184" s="44">
        <v>27271</v>
      </c>
      <c r="AB184" s="44">
        <v>27837</v>
      </c>
      <c r="AC184" s="44">
        <v>27943</v>
      </c>
      <c r="AD184"/>
    </row>
    <row r="185" spans="1:30" x14ac:dyDescent="0.2">
      <c r="A185" s="45" t="s">
        <v>86</v>
      </c>
      <c r="B185" s="45" t="s">
        <v>100</v>
      </c>
      <c r="C185" s="45" t="s">
        <v>99</v>
      </c>
      <c r="D185" s="44">
        <v>28196</v>
      </c>
      <c r="E185" s="44">
        <v>29471</v>
      </c>
      <c r="F185" s="44">
        <v>30633</v>
      </c>
      <c r="G185" s="44">
        <v>31001</v>
      </c>
      <c r="H185" s="44">
        <v>30668</v>
      </c>
      <c r="I185" s="44">
        <v>31603</v>
      </c>
      <c r="J185" s="44">
        <v>32136</v>
      </c>
      <c r="K185" s="44">
        <v>32774</v>
      </c>
      <c r="L185" s="44">
        <v>33056</v>
      </c>
      <c r="M185" s="44">
        <v>33357</v>
      </c>
      <c r="N185" s="44">
        <v>33407</v>
      </c>
      <c r="O185" s="44">
        <v>31101</v>
      </c>
      <c r="P185" s="44">
        <v>31054</v>
      </c>
      <c r="Q185" s="44">
        <v>30820</v>
      </c>
      <c r="R185" s="44">
        <v>30565</v>
      </c>
      <c r="S185" s="44">
        <v>31325</v>
      </c>
      <c r="T185" s="44">
        <v>31379</v>
      </c>
      <c r="U185" s="44">
        <v>31279</v>
      </c>
      <c r="V185" s="44">
        <v>32172</v>
      </c>
      <c r="W185" s="44">
        <v>34063</v>
      </c>
      <c r="X185" s="44">
        <v>33452</v>
      </c>
      <c r="Y185" s="44">
        <v>34158</v>
      </c>
      <c r="Z185" s="44">
        <v>30775</v>
      </c>
      <c r="AA185" s="44">
        <v>33710</v>
      </c>
      <c r="AB185" s="44">
        <v>34276</v>
      </c>
      <c r="AC185" s="44">
        <v>34032</v>
      </c>
      <c r="AD185"/>
    </row>
    <row r="186" spans="1:30" x14ac:dyDescent="0.2">
      <c r="A186" s="45" t="s">
        <v>86</v>
      </c>
      <c r="B186" s="45" t="s">
        <v>98</v>
      </c>
      <c r="C186" s="45" t="s">
        <v>97</v>
      </c>
      <c r="D186" s="44">
        <v>27107</v>
      </c>
      <c r="E186" s="44">
        <v>28270</v>
      </c>
      <c r="F186" s="44">
        <v>28611</v>
      </c>
      <c r="G186" s="44">
        <v>28232</v>
      </c>
      <c r="H186" s="44">
        <v>27910</v>
      </c>
      <c r="I186" s="44">
        <v>27629</v>
      </c>
      <c r="J186" s="44">
        <v>27803</v>
      </c>
      <c r="K186" s="44">
        <v>28077</v>
      </c>
      <c r="L186" s="44">
        <v>28356</v>
      </c>
      <c r="M186" s="44">
        <v>27501</v>
      </c>
      <c r="N186" s="44">
        <v>27352</v>
      </c>
      <c r="O186" s="44">
        <v>26307</v>
      </c>
      <c r="P186" s="44">
        <v>27119</v>
      </c>
      <c r="Q186" s="44">
        <v>26883</v>
      </c>
      <c r="R186" s="44">
        <v>26567</v>
      </c>
      <c r="S186" s="44">
        <v>26433</v>
      </c>
      <c r="T186" s="44">
        <v>27316</v>
      </c>
      <c r="U186" s="44">
        <v>27147</v>
      </c>
      <c r="V186" s="44">
        <v>26971</v>
      </c>
      <c r="W186" s="44">
        <v>27556</v>
      </c>
      <c r="X186" s="44">
        <v>27827</v>
      </c>
      <c r="Y186" s="44">
        <v>28236</v>
      </c>
      <c r="Z186" s="44">
        <v>25919</v>
      </c>
      <c r="AA186" s="44">
        <v>27845</v>
      </c>
      <c r="AB186" s="44">
        <v>28594</v>
      </c>
      <c r="AC186" s="44">
        <v>27471</v>
      </c>
      <c r="AD186"/>
    </row>
    <row r="187" spans="1:30" x14ac:dyDescent="0.2">
      <c r="A187" s="49" t="s">
        <v>87</v>
      </c>
      <c r="B187" s="49" t="s">
        <v>96</v>
      </c>
      <c r="C187" s="49" t="s">
        <v>95</v>
      </c>
      <c r="D187" s="52">
        <v>29604</v>
      </c>
      <c r="E187" s="52">
        <v>30652</v>
      </c>
      <c r="F187" s="52">
        <v>31787</v>
      </c>
      <c r="G187" s="52">
        <v>33405</v>
      </c>
      <c r="H187" s="52">
        <v>33414</v>
      </c>
      <c r="I187" s="52">
        <v>33823</v>
      </c>
      <c r="J187" s="52">
        <v>34003</v>
      </c>
      <c r="K187" s="52">
        <v>34316</v>
      </c>
      <c r="L187" s="52">
        <v>34235</v>
      </c>
      <c r="M187" s="52">
        <v>35548</v>
      </c>
      <c r="N187" s="52">
        <v>35291</v>
      </c>
      <c r="O187" s="52">
        <v>33174</v>
      </c>
      <c r="P187" s="52">
        <v>34910</v>
      </c>
      <c r="Q187" s="52">
        <v>34693</v>
      </c>
      <c r="R187" s="52">
        <v>34674</v>
      </c>
      <c r="S187" s="52">
        <v>34750</v>
      </c>
      <c r="T187" s="52">
        <v>36089</v>
      </c>
      <c r="U187" s="52">
        <v>35929</v>
      </c>
      <c r="V187" s="52">
        <v>35674</v>
      </c>
      <c r="W187" s="52">
        <v>36442</v>
      </c>
      <c r="X187" s="52">
        <v>37000</v>
      </c>
      <c r="Y187" s="52">
        <v>37518</v>
      </c>
      <c r="Z187" s="52">
        <v>33576</v>
      </c>
      <c r="AA187" s="52">
        <v>36484</v>
      </c>
      <c r="AB187" s="52">
        <v>37209</v>
      </c>
      <c r="AC187" s="52">
        <v>36067</v>
      </c>
      <c r="AD187"/>
    </row>
    <row r="188" spans="1:30" x14ac:dyDescent="0.2">
      <c r="A188" s="45" t="s">
        <v>86</v>
      </c>
      <c r="B188" s="45" t="s">
        <v>94</v>
      </c>
      <c r="C188" s="45" t="s">
        <v>93</v>
      </c>
      <c r="D188" s="44">
        <v>42377</v>
      </c>
      <c r="E188" s="44">
        <v>44496</v>
      </c>
      <c r="F188" s="44">
        <v>45996</v>
      </c>
      <c r="G188" s="44">
        <v>50810</v>
      </c>
      <c r="H188" s="44">
        <v>51011</v>
      </c>
      <c r="I188" s="44">
        <v>53180</v>
      </c>
      <c r="J188" s="44">
        <v>53180</v>
      </c>
      <c r="K188" s="44">
        <v>52822</v>
      </c>
      <c r="L188" s="44">
        <v>54462</v>
      </c>
      <c r="M188" s="44">
        <v>56623</v>
      </c>
      <c r="N188" s="44">
        <v>56233</v>
      </c>
      <c r="O188" s="44">
        <v>51722</v>
      </c>
      <c r="P188" s="44">
        <v>52063</v>
      </c>
      <c r="Q188" s="44">
        <v>50940</v>
      </c>
      <c r="R188" s="44">
        <v>49273</v>
      </c>
      <c r="S188" s="44">
        <v>48950</v>
      </c>
      <c r="T188" s="44">
        <v>51742</v>
      </c>
      <c r="U188" s="44">
        <v>53337</v>
      </c>
      <c r="V188" s="44">
        <v>52135</v>
      </c>
      <c r="W188" s="44">
        <v>51824</v>
      </c>
      <c r="X188" s="44">
        <v>53962</v>
      </c>
      <c r="Y188" s="44">
        <v>53860</v>
      </c>
      <c r="Z188" s="44">
        <v>47314</v>
      </c>
      <c r="AA188" s="44">
        <v>50062</v>
      </c>
      <c r="AB188" s="44">
        <v>54647</v>
      </c>
      <c r="AC188" s="44">
        <v>52262</v>
      </c>
      <c r="AD188"/>
    </row>
    <row r="189" spans="1:30" x14ac:dyDescent="0.2">
      <c r="A189" s="45" t="s">
        <v>86</v>
      </c>
      <c r="B189" s="45" t="s">
        <v>92</v>
      </c>
      <c r="C189" s="45" t="s">
        <v>91</v>
      </c>
      <c r="D189" s="44">
        <v>25615</v>
      </c>
      <c r="E189" s="44">
        <v>26526</v>
      </c>
      <c r="F189" s="44">
        <v>27439</v>
      </c>
      <c r="G189" s="44">
        <v>28453</v>
      </c>
      <c r="H189" s="44">
        <v>28357</v>
      </c>
      <c r="I189" s="44">
        <v>28316</v>
      </c>
      <c r="J189" s="44">
        <v>28600</v>
      </c>
      <c r="K189" s="44">
        <v>28597</v>
      </c>
      <c r="L189" s="44">
        <v>28358</v>
      </c>
      <c r="M189" s="44">
        <v>28964</v>
      </c>
      <c r="N189" s="44">
        <v>28692</v>
      </c>
      <c r="O189" s="44">
        <v>27156</v>
      </c>
      <c r="P189" s="44">
        <v>28889</v>
      </c>
      <c r="Q189" s="44">
        <v>29345</v>
      </c>
      <c r="R189" s="44">
        <v>29871</v>
      </c>
      <c r="S189" s="44">
        <v>29854</v>
      </c>
      <c r="T189" s="44">
        <v>31023</v>
      </c>
      <c r="U189" s="44">
        <v>30255</v>
      </c>
      <c r="V189" s="44">
        <v>30248</v>
      </c>
      <c r="W189" s="44">
        <v>30373</v>
      </c>
      <c r="X189" s="44">
        <v>30626</v>
      </c>
      <c r="Y189" s="44">
        <v>30807</v>
      </c>
      <c r="Z189" s="44">
        <v>27607</v>
      </c>
      <c r="AA189" s="44">
        <v>30489</v>
      </c>
      <c r="AB189" s="44">
        <v>31217</v>
      </c>
      <c r="AC189" s="44">
        <v>30749</v>
      </c>
      <c r="AD189"/>
    </row>
    <row r="190" spans="1:30" x14ac:dyDescent="0.2">
      <c r="A190" s="45" t="s">
        <v>86</v>
      </c>
      <c r="B190" s="45" t="s">
        <v>90</v>
      </c>
      <c r="C190" s="45" t="s">
        <v>89</v>
      </c>
      <c r="D190" s="44">
        <v>28330</v>
      </c>
      <c r="E190" s="44">
        <v>29140</v>
      </c>
      <c r="F190" s="44">
        <v>30327</v>
      </c>
      <c r="G190" s="44">
        <v>31478</v>
      </c>
      <c r="H190" s="44">
        <v>31511</v>
      </c>
      <c r="I190" s="44">
        <v>31741</v>
      </c>
      <c r="J190" s="44">
        <v>31872</v>
      </c>
      <c r="K190" s="44">
        <v>32574</v>
      </c>
      <c r="L190" s="44">
        <v>32085</v>
      </c>
      <c r="M190" s="44">
        <v>33619</v>
      </c>
      <c r="N190" s="44">
        <v>33349</v>
      </c>
      <c r="O190" s="44">
        <v>31536</v>
      </c>
      <c r="P190" s="44">
        <v>33700</v>
      </c>
      <c r="Q190" s="44">
        <v>33225</v>
      </c>
      <c r="R190" s="44">
        <v>33292</v>
      </c>
      <c r="S190" s="44">
        <v>33535</v>
      </c>
      <c r="T190" s="44">
        <v>34487</v>
      </c>
      <c r="U190" s="44">
        <v>34161</v>
      </c>
      <c r="V190" s="44">
        <v>34028</v>
      </c>
      <c r="W190" s="44">
        <v>35645</v>
      </c>
      <c r="X190" s="44">
        <v>35852</v>
      </c>
      <c r="Y190" s="44">
        <v>36861</v>
      </c>
      <c r="Z190" s="44">
        <v>33291</v>
      </c>
      <c r="AA190" s="44">
        <v>36292</v>
      </c>
      <c r="AB190" s="44">
        <v>35653</v>
      </c>
      <c r="AC190" s="44">
        <v>34392</v>
      </c>
      <c r="AD190"/>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DA0D1-6122-4185-9D18-E65EBA054CC9}">
  <dimension ref="A1:H190"/>
  <sheetViews>
    <sheetView topLeftCell="A123" workbookViewId="0">
      <selection activeCell="A118" sqref="A118:XFD118"/>
    </sheetView>
  </sheetViews>
  <sheetFormatPr defaultColWidth="14.28515625" defaultRowHeight="15" x14ac:dyDescent="0.2"/>
  <cols>
    <col min="1" max="1" width="7" style="7" bestFit="1" customWidth="1"/>
    <col min="2" max="2" width="13" style="7" bestFit="1" customWidth="1"/>
    <col min="3" max="3" width="59.140625" style="7" bestFit="1" customWidth="1"/>
    <col min="4" max="5" width="9.5703125" style="21" bestFit="1" customWidth="1"/>
    <col min="6" max="6" width="28.140625" bestFit="1" customWidth="1"/>
    <col min="7" max="7" width="9.5703125" style="21" bestFit="1" customWidth="1"/>
    <col min="8" max="8" width="25.85546875" style="21" bestFit="1" customWidth="1"/>
    <col min="9" max="16384" width="14.28515625" style="21"/>
  </cols>
  <sheetData>
    <row r="1" spans="1:8" ht="18" x14ac:dyDescent="0.25">
      <c r="A1" s="9" t="s">
        <v>79</v>
      </c>
      <c r="B1" s="20"/>
      <c r="C1" s="20"/>
      <c r="D1" s="20"/>
      <c r="E1" s="20"/>
      <c r="G1" s="20"/>
    </row>
    <row r="2" spans="1:8" s="7" customFormat="1" ht="15.75" x14ac:dyDescent="0.25">
      <c r="A2" s="8" t="s">
        <v>38</v>
      </c>
      <c r="B2" s="8" t="s">
        <v>39</v>
      </c>
      <c r="C2" s="8" t="s">
        <v>40</v>
      </c>
      <c r="D2" s="22" t="s">
        <v>44</v>
      </c>
      <c r="E2" s="22" t="s">
        <v>54</v>
      </c>
      <c r="F2" s="22" t="s">
        <v>458</v>
      </c>
      <c r="G2" s="22" t="s">
        <v>64</v>
      </c>
      <c r="H2" s="22" t="s">
        <v>459</v>
      </c>
    </row>
    <row r="3" spans="1:8" x14ac:dyDescent="0.2">
      <c r="A3" s="34" t="s">
        <v>65</v>
      </c>
      <c r="B3" s="34" t="s">
        <v>65</v>
      </c>
      <c r="C3" s="34" t="s">
        <v>66</v>
      </c>
      <c r="D3" s="36">
        <v>31173</v>
      </c>
      <c r="E3" s="36">
        <v>33264</v>
      </c>
      <c r="F3" s="63">
        <f t="shared" ref="F3:F34" si="0">E3/D3</f>
        <v>1.0670772784140121</v>
      </c>
      <c r="G3" s="36">
        <v>35943</v>
      </c>
      <c r="H3" s="58">
        <f>G3/D3</f>
        <v>1.1530170339717063</v>
      </c>
    </row>
    <row r="4" spans="1:8" x14ac:dyDescent="0.2">
      <c r="A4" s="41" t="s">
        <v>67</v>
      </c>
      <c r="B4" s="41" t="s">
        <v>68</v>
      </c>
      <c r="C4" s="41" t="s">
        <v>69</v>
      </c>
      <c r="D4" s="56">
        <v>30316</v>
      </c>
      <c r="E4" s="56">
        <v>33428</v>
      </c>
      <c r="F4" s="64">
        <f t="shared" si="0"/>
        <v>1.1026520649162159</v>
      </c>
      <c r="G4" s="56">
        <v>36465</v>
      </c>
      <c r="H4" s="59">
        <f t="shared" ref="H4:H67" si="1">G4/D4</f>
        <v>1.2028301886792452</v>
      </c>
    </row>
    <row r="5" spans="1:8" x14ac:dyDescent="0.2">
      <c r="A5" s="55" t="s">
        <v>88</v>
      </c>
      <c r="B5" s="55" t="s">
        <v>457</v>
      </c>
      <c r="C5" s="55" t="s">
        <v>456</v>
      </c>
      <c r="D5" s="57">
        <v>20895</v>
      </c>
      <c r="E5" s="57">
        <v>23938</v>
      </c>
      <c r="F5" s="65">
        <f t="shared" si="0"/>
        <v>1.1456329265374492</v>
      </c>
      <c r="G5" s="57">
        <v>25868</v>
      </c>
      <c r="H5" s="60">
        <f t="shared" si="1"/>
        <v>1.2379995214166069</v>
      </c>
    </row>
    <row r="6" spans="1:8" x14ac:dyDescent="0.2">
      <c r="A6" s="54" t="s">
        <v>87</v>
      </c>
      <c r="B6" s="54" t="s">
        <v>455</v>
      </c>
      <c r="C6" s="54" t="s">
        <v>454</v>
      </c>
      <c r="D6" s="52">
        <v>19501</v>
      </c>
      <c r="E6" s="52">
        <v>23230</v>
      </c>
      <c r="F6" s="66">
        <f t="shared" si="0"/>
        <v>1.191220963027537</v>
      </c>
      <c r="G6" s="52">
        <v>25484</v>
      </c>
      <c r="H6" s="61">
        <f t="shared" si="1"/>
        <v>1.30680477924209</v>
      </c>
    </row>
    <row r="7" spans="1:8" x14ac:dyDescent="0.2">
      <c r="A7" s="53" t="s">
        <v>86</v>
      </c>
      <c r="B7" s="53" t="s">
        <v>453</v>
      </c>
      <c r="C7" s="53" t="s">
        <v>452</v>
      </c>
      <c r="D7" s="44">
        <v>23560</v>
      </c>
      <c r="E7" s="44">
        <v>26759</v>
      </c>
      <c r="F7" s="67">
        <f t="shared" si="0"/>
        <v>1.1357809847198641</v>
      </c>
      <c r="G7" s="44">
        <v>28409</v>
      </c>
      <c r="H7" s="62">
        <f t="shared" si="1"/>
        <v>1.2058149405772496</v>
      </c>
    </row>
    <row r="8" spans="1:8" x14ac:dyDescent="0.2">
      <c r="A8" s="53" t="s">
        <v>86</v>
      </c>
      <c r="B8" s="53" t="s">
        <v>451</v>
      </c>
      <c r="C8" s="53" t="s">
        <v>450</v>
      </c>
      <c r="D8" s="44">
        <v>19250</v>
      </c>
      <c r="E8" s="44">
        <v>21274</v>
      </c>
      <c r="F8" s="67">
        <f t="shared" si="0"/>
        <v>1.1051428571428572</v>
      </c>
      <c r="G8" s="44">
        <v>21887</v>
      </c>
      <c r="H8" s="62">
        <f t="shared" si="1"/>
        <v>1.136987012987013</v>
      </c>
    </row>
    <row r="9" spans="1:8" x14ac:dyDescent="0.2">
      <c r="A9" s="53" t="s">
        <v>86</v>
      </c>
      <c r="B9" s="53" t="s">
        <v>449</v>
      </c>
      <c r="C9" s="53" t="s">
        <v>448</v>
      </c>
      <c r="D9" s="44">
        <v>14391</v>
      </c>
      <c r="E9" s="44">
        <v>20558</v>
      </c>
      <c r="F9" s="67">
        <f t="shared" si="0"/>
        <v>1.428531721214648</v>
      </c>
      <c r="G9" s="44">
        <v>27011</v>
      </c>
      <c r="H9" s="62">
        <f t="shared" si="1"/>
        <v>1.8769369744979501</v>
      </c>
    </row>
    <row r="10" spans="1:8" x14ac:dyDescent="0.2">
      <c r="A10" s="54" t="s">
        <v>87</v>
      </c>
      <c r="B10" s="54" t="s">
        <v>447</v>
      </c>
      <c r="C10" s="54" t="s">
        <v>446</v>
      </c>
      <c r="D10" s="52">
        <v>21492</v>
      </c>
      <c r="E10" s="52">
        <v>24179</v>
      </c>
      <c r="F10" s="66">
        <f t="shared" si="0"/>
        <v>1.1250232644705007</v>
      </c>
      <c r="G10" s="52">
        <v>26027</v>
      </c>
      <c r="H10" s="61">
        <f t="shared" si="1"/>
        <v>1.2110087474409081</v>
      </c>
    </row>
    <row r="11" spans="1:8" x14ac:dyDescent="0.2">
      <c r="A11" s="53" t="s">
        <v>86</v>
      </c>
      <c r="B11" s="53" t="s">
        <v>445</v>
      </c>
      <c r="C11" s="53" t="s">
        <v>444</v>
      </c>
      <c r="D11" s="44">
        <v>20569</v>
      </c>
      <c r="E11" s="44">
        <v>21660</v>
      </c>
      <c r="F11" s="67">
        <f t="shared" si="0"/>
        <v>1.0530409840050561</v>
      </c>
      <c r="G11" s="44">
        <v>23118</v>
      </c>
      <c r="H11" s="62">
        <f t="shared" si="1"/>
        <v>1.1239243521804658</v>
      </c>
    </row>
    <row r="12" spans="1:8" x14ac:dyDescent="0.2">
      <c r="A12" s="53" t="s">
        <v>86</v>
      </c>
      <c r="B12" s="53" t="s">
        <v>443</v>
      </c>
      <c r="C12" s="53" t="s">
        <v>442</v>
      </c>
      <c r="D12" s="44">
        <v>19697</v>
      </c>
      <c r="E12" s="44">
        <v>21196</v>
      </c>
      <c r="F12" s="67">
        <f t="shared" si="0"/>
        <v>1.0761029598416003</v>
      </c>
      <c r="G12" s="44">
        <v>21331</v>
      </c>
      <c r="H12" s="62">
        <f t="shared" si="1"/>
        <v>1.0829567954510839</v>
      </c>
    </row>
    <row r="13" spans="1:8" x14ac:dyDescent="0.2">
      <c r="A13" s="53" t="s">
        <v>86</v>
      </c>
      <c r="B13" s="53" t="s">
        <v>441</v>
      </c>
      <c r="C13" s="53" t="s">
        <v>440</v>
      </c>
      <c r="D13" s="44">
        <v>22002</v>
      </c>
      <c r="E13" s="44">
        <v>25714</v>
      </c>
      <c r="F13" s="67">
        <f t="shared" si="0"/>
        <v>1.1687119352786111</v>
      </c>
      <c r="G13" s="44">
        <v>28681</v>
      </c>
      <c r="H13" s="62">
        <f t="shared" si="1"/>
        <v>1.303563312426143</v>
      </c>
    </row>
    <row r="14" spans="1:8" x14ac:dyDescent="0.2">
      <c r="A14" s="53" t="s">
        <v>86</v>
      </c>
      <c r="B14" s="53" t="s">
        <v>439</v>
      </c>
      <c r="C14" s="53" t="s">
        <v>438</v>
      </c>
      <c r="D14" s="44">
        <v>24531</v>
      </c>
      <c r="E14" s="44">
        <v>28226</v>
      </c>
      <c r="F14" s="67">
        <f t="shared" si="0"/>
        <v>1.150625738861033</v>
      </c>
      <c r="G14" s="44">
        <v>28901</v>
      </c>
      <c r="H14" s="62">
        <f t="shared" si="1"/>
        <v>1.1781419428478253</v>
      </c>
    </row>
    <row r="15" spans="1:8" x14ac:dyDescent="0.2">
      <c r="A15" s="51" t="s">
        <v>88</v>
      </c>
      <c r="B15" s="51" t="s">
        <v>437</v>
      </c>
      <c r="C15" s="51" t="s">
        <v>436</v>
      </c>
      <c r="D15" s="57">
        <v>25549</v>
      </c>
      <c r="E15" s="57">
        <v>28332</v>
      </c>
      <c r="F15" s="65">
        <f t="shared" si="0"/>
        <v>1.1089279423852205</v>
      </c>
      <c r="G15" s="57">
        <v>31830</v>
      </c>
      <c r="H15" s="60">
        <f t="shared" si="1"/>
        <v>1.2458413245136797</v>
      </c>
    </row>
    <row r="16" spans="1:8" x14ac:dyDescent="0.2">
      <c r="A16" s="49" t="s">
        <v>87</v>
      </c>
      <c r="B16" s="49" t="s">
        <v>435</v>
      </c>
      <c r="C16" s="49" t="s">
        <v>434</v>
      </c>
      <c r="D16" s="52">
        <v>24509</v>
      </c>
      <c r="E16" s="52">
        <v>26953</v>
      </c>
      <c r="F16" s="66">
        <f t="shared" si="0"/>
        <v>1.0997184707658412</v>
      </c>
      <c r="G16" s="52">
        <v>28522</v>
      </c>
      <c r="H16" s="61">
        <f t="shared" si="1"/>
        <v>1.1637357705332736</v>
      </c>
    </row>
    <row r="17" spans="1:8" x14ac:dyDescent="0.2">
      <c r="A17" s="45" t="s">
        <v>86</v>
      </c>
      <c r="B17" s="45" t="s">
        <v>433</v>
      </c>
      <c r="C17" s="45" t="s">
        <v>432</v>
      </c>
      <c r="D17" s="44">
        <v>26204</v>
      </c>
      <c r="E17" s="44">
        <v>27030</v>
      </c>
      <c r="F17" s="67">
        <f t="shared" si="0"/>
        <v>1.0315219050526636</v>
      </c>
      <c r="G17" s="44">
        <v>25615</v>
      </c>
      <c r="H17" s="62">
        <f t="shared" si="1"/>
        <v>0.97752251564646619</v>
      </c>
    </row>
    <row r="18" spans="1:8" x14ac:dyDescent="0.2">
      <c r="A18" s="45" t="s">
        <v>86</v>
      </c>
      <c r="B18" s="45" t="s">
        <v>431</v>
      </c>
      <c r="C18" s="45" t="s">
        <v>430</v>
      </c>
      <c r="D18" s="44">
        <v>24849</v>
      </c>
      <c r="E18" s="44">
        <v>29314</v>
      </c>
      <c r="F18" s="67">
        <f t="shared" si="0"/>
        <v>1.1796852992072115</v>
      </c>
      <c r="G18" s="44">
        <v>33222</v>
      </c>
      <c r="H18" s="62">
        <f t="shared" si="1"/>
        <v>1.3369552094651695</v>
      </c>
    </row>
    <row r="19" spans="1:8" x14ac:dyDescent="0.2">
      <c r="A19" s="49" t="s">
        <v>87</v>
      </c>
      <c r="B19" s="49" t="s">
        <v>429</v>
      </c>
      <c r="C19" s="49" t="s">
        <v>428</v>
      </c>
      <c r="D19" s="52">
        <v>25036</v>
      </c>
      <c r="E19" s="52">
        <v>27649</v>
      </c>
      <c r="F19" s="66">
        <f t="shared" si="0"/>
        <v>1.1043697076210257</v>
      </c>
      <c r="G19" s="52">
        <v>32580</v>
      </c>
      <c r="H19" s="61">
        <f t="shared" si="1"/>
        <v>1.3013260904297812</v>
      </c>
    </row>
    <row r="20" spans="1:8" x14ac:dyDescent="0.2">
      <c r="A20" s="45" t="s">
        <v>86</v>
      </c>
      <c r="B20" s="45" t="s">
        <v>427</v>
      </c>
      <c r="C20" s="45" t="s">
        <v>426</v>
      </c>
      <c r="D20" s="44">
        <v>40010</v>
      </c>
      <c r="E20" s="44">
        <v>44007</v>
      </c>
      <c r="F20" s="67">
        <f t="shared" si="0"/>
        <v>1.0999000249937516</v>
      </c>
      <c r="G20" s="44">
        <v>54506</v>
      </c>
      <c r="H20" s="62">
        <f t="shared" si="1"/>
        <v>1.3623094226443389</v>
      </c>
    </row>
    <row r="21" spans="1:8" x14ac:dyDescent="0.2">
      <c r="A21" s="45" t="s">
        <v>86</v>
      </c>
      <c r="B21" s="45" t="s">
        <v>425</v>
      </c>
      <c r="C21" s="45" t="s">
        <v>424</v>
      </c>
      <c r="D21" s="44">
        <v>33363</v>
      </c>
      <c r="E21" s="44">
        <v>34961</v>
      </c>
      <c r="F21" s="67">
        <f t="shared" si="0"/>
        <v>1.0478973713395079</v>
      </c>
      <c r="G21" s="44">
        <v>43666</v>
      </c>
      <c r="H21" s="62">
        <f t="shared" si="1"/>
        <v>1.308815154512484</v>
      </c>
    </row>
    <row r="22" spans="1:8" x14ac:dyDescent="0.2">
      <c r="A22" s="45" t="s">
        <v>86</v>
      </c>
      <c r="B22" s="45" t="s">
        <v>423</v>
      </c>
      <c r="C22" s="45" t="s">
        <v>422</v>
      </c>
      <c r="D22" s="44">
        <v>21543</v>
      </c>
      <c r="E22" s="44">
        <v>23671</v>
      </c>
      <c r="F22" s="67">
        <f t="shared" si="0"/>
        <v>1.0987791858144176</v>
      </c>
      <c r="G22" s="44">
        <v>24938</v>
      </c>
      <c r="H22" s="62">
        <f t="shared" si="1"/>
        <v>1.1575917931578703</v>
      </c>
    </row>
    <row r="23" spans="1:8" x14ac:dyDescent="0.2">
      <c r="A23" s="45" t="s">
        <v>86</v>
      </c>
      <c r="B23" s="45" t="s">
        <v>421</v>
      </c>
      <c r="C23" s="45" t="s">
        <v>420</v>
      </c>
      <c r="D23" s="44">
        <v>21304</v>
      </c>
      <c r="E23" s="44">
        <v>20914</v>
      </c>
      <c r="F23" s="67">
        <f t="shared" si="0"/>
        <v>0.9816935786706722</v>
      </c>
      <c r="G23" s="44">
        <v>22984</v>
      </c>
      <c r="H23" s="62">
        <f t="shared" si="1"/>
        <v>1.0788584303417199</v>
      </c>
    </row>
    <row r="24" spans="1:8" x14ac:dyDescent="0.2">
      <c r="A24" s="45" t="s">
        <v>86</v>
      </c>
      <c r="B24" s="45" t="s">
        <v>419</v>
      </c>
      <c r="C24" s="45" t="s">
        <v>418</v>
      </c>
      <c r="D24" s="44">
        <v>18051</v>
      </c>
      <c r="E24" s="44">
        <v>20343</v>
      </c>
      <c r="F24" s="67">
        <f t="shared" si="0"/>
        <v>1.1269735748711982</v>
      </c>
      <c r="G24" s="44">
        <v>21170</v>
      </c>
      <c r="H24" s="62">
        <f t="shared" si="1"/>
        <v>1.1727882111794361</v>
      </c>
    </row>
    <row r="25" spans="1:8" x14ac:dyDescent="0.2">
      <c r="A25" s="49" t="s">
        <v>87</v>
      </c>
      <c r="B25" s="49" t="s">
        <v>417</v>
      </c>
      <c r="C25" s="49" t="s">
        <v>416</v>
      </c>
      <c r="D25" s="52">
        <v>24451</v>
      </c>
      <c r="E25" s="52">
        <v>26449</v>
      </c>
      <c r="F25" s="66">
        <f t="shared" si="0"/>
        <v>1.0817144493067767</v>
      </c>
      <c r="G25" s="52">
        <v>28747</v>
      </c>
      <c r="H25" s="61">
        <f t="shared" si="1"/>
        <v>1.175698335446403</v>
      </c>
    </row>
    <row r="26" spans="1:8" x14ac:dyDescent="0.2">
      <c r="A26" s="45" t="s">
        <v>86</v>
      </c>
      <c r="B26" s="45" t="s">
        <v>415</v>
      </c>
      <c r="C26" s="45" t="s">
        <v>414</v>
      </c>
      <c r="D26" s="44">
        <v>19973</v>
      </c>
      <c r="E26" s="44">
        <v>22287</v>
      </c>
      <c r="F26" s="67">
        <f t="shared" si="0"/>
        <v>1.1158564061483003</v>
      </c>
      <c r="G26" s="44">
        <v>27049</v>
      </c>
      <c r="H26" s="62">
        <f t="shared" si="1"/>
        <v>1.3542782756721574</v>
      </c>
    </row>
    <row r="27" spans="1:8" x14ac:dyDescent="0.2">
      <c r="A27" s="45" t="s">
        <v>86</v>
      </c>
      <c r="B27" s="45" t="s">
        <v>413</v>
      </c>
      <c r="C27" s="45" t="s">
        <v>412</v>
      </c>
      <c r="D27" s="44">
        <v>21297</v>
      </c>
      <c r="E27" s="44">
        <v>22296</v>
      </c>
      <c r="F27" s="67">
        <f t="shared" si="0"/>
        <v>1.0469080152134103</v>
      </c>
      <c r="G27" s="44">
        <v>23751</v>
      </c>
      <c r="H27" s="62">
        <f t="shared" si="1"/>
        <v>1.1152274968305396</v>
      </c>
    </row>
    <row r="28" spans="1:8" x14ac:dyDescent="0.2">
      <c r="A28" s="45" t="s">
        <v>86</v>
      </c>
      <c r="B28" s="45" t="s">
        <v>411</v>
      </c>
      <c r="C28" s="45" t="s">
        <v>410</v>
      </c>
      <c r="D28" s="44">
        <v>21630</v>
      </c>
      <c r="E28" s="44">
        <v>21024</v>
      </c>
      <c r="F28" s="67">
        <f t="shared" si="0"/>
        <v>0.97198335644937583</v>
      </c>
      <c r="G28" s="44">
        <v>23797</v>
      </c>
      <c r="H28" s="62">
        <f t="shared" si="1"/>
        <v>1.100184928340268</v>
      </c>
    </row>
    <row r="29" spans="1:8" x14ac:dyDescent="0.2">
      <c r="A29" s="45" t="s">
        <v>86</v>
      </c>
      <c r="B29" s="45" t="s">
        <v>409</v>
      </c>
      <c r="C29" s="45" t="s">
        <v>408</v>
      </c>
      <c r="D29" s="44">
        <v>35704</v>
      </c>
      <c r="E29" s="44">
        <v>37130</v>
      </c>
      <c r="F29" s="67">
        <f t="shared" si="0"/>
        <v>1.0399395025767422</v>
      </c>
      <c r="G29" s="44">
        <v>39501</v>
      </c>
      <c r="H29" s="62">
        <f t="shared" si="1"/>
        <v>1.1063466278288148</v>
      </c>
    </row>
    <row r="30" spans="1:8" x14ac:dyDescent="0.2">
      <c r="A30" s="45" t="s">
        <v>86</v>
      </c>
      <c r="B30" s="45" t="s">
        <v>407</v>
      </c>
      <c r="C30" s="45" t="s">
        <v>406</v>
      </c>
      <c r="D30" s="44">
        <v>19002</v>
      </c>
      <c r="E30" s="44">
        <v>22044</v>
      </c>
      <c r="F30" s="67">
        <f t="shared" si="0"/>
        <v>1.1600884117461321</v>
      </c>
      <c r="G30" s="44">
        <v>23493</v>
      </c>
      <c r="H30" s="62">
        <f t="shared" si="1"/>
        <v>1.2363435427849701</v>
      </c>
    </row>
    <row r="31" spans="1:8" x14ac:dyDescent="0.2">
      <c r="A31" s="45" t="s">
        <v>86</v>
      </c>
      <c r="B31" s="45" t="s">
        <v>405</v>
      </c>
      <c r="C31" s="45" t="s">
        <v>404</v>
      </c>
      <c r="D31" s="44">
        <v>22259</v>
      </c>
      <c r="E31" s="44">
        <v>24471</v>
      </c>
      <c r="F31" s="67">
        <f t="shared" si="0"/>
        <v>1.0993755334920707</v>
      </c>
      <c r="G31" s="44">
        <v>27328</v>
      </c>
      <c r="H31" s="62">
        <f t="shared" si="1"/>
        <v>1.2277281099779864</v>
      </c>
    </row>
    <row r="32" spans="1:8" x14ac:dyDescent="0.2">
      <c r="A32" s="49" t="s">
        <v>87</v>
      </c>
      <c r="B32" s="49" t="s">
        <v>403</v>
      </c>
      <c r="C32" s="49" t="s">
        <v>402</v>
      </c>
      <c r="D32" s="52">
        <v>34629</v>
      </c>
      <c r="E32" s="52">
        <v>38161</v>
      </c>
      <c r="F32" s="66">
        <f t="shared" si="0"/>
        <v>1.1019954373501979</v>
      </c>
      <c r="G32" s="52">
        <v>41836</v>
      </c>
      <c r="H32" s="61">
        <f t="shared" si="1"/>
        <v>1.2081203615466805</v>
      </c>
    </row>
    <row r="33" spans="1:8" x14ac:dyDescent="0.2">
      <c r="A33" s="45" t="s">
        <v>86</v>
      </c>
      <c r="B33" s="45" t="s">
        <v>401</v>
      </c>
      <c r="C33" s="45" t="s">
        <v>400</v>
      </c>
      <c r="D33" s="44">
        <v>32471</v>
      </c>
      <c r="E33" s="44">
        <v>35594</v>
      </c>
      <c r="F33" s="67">
        <f t="shared" si="0"/>
        <v>1.0961781281759109</v>
      </c>
      <c r="G33" s="44">
        <v>47255</v>
      </c>
      <c r="H33" s="62">
        <f t="shared" si="1"/>
        <v>1.4552985741122848</v>
      </c>
    </row>
    <row r="34" spans="1:8" x14ac:dyDescent="0.2">
      <c r="A34" s="45" t="s">
        <v>86</v>
      </c>
      <c r="B34" s="45" t="s">
        <v>399</v>
      </c>
      <c r="C34" s="45" t="s">
        <v>398</v>
      </c>
      <c r="D34" s="44">
        <v>37389</v>
      </c>
      <c r="E34" s="44">
        <v>39479</v>
      </c>
      <c r="F34" s="67">
        <f t="shared" si="0"/>
        <v>1.0558987937628714</v>
      </c>
      <c r="G34" s="44">
        <v>40876</v>
      </c>
      <c r="H34" s="62">
        <f t="shared" si="1"/>
        <v>1.0932627243306854</v>
      </c>
    </row>
    <row r="35" spans="1:8" x14ac:dyDescent="0.2">
      <c r="A35" s="45" t="s">
        <v>86</v>
      </c>
      <c r="B35" s="45" t="s">
        <v>397</v>
      </c>
      <c r="C35" s="45" t="s">
        <v>396</v>
      </c>
      <c r="D35" s="44">
        <v>33254</v>
      </c>
      <c r="E35" s="44">
        <v>38029</v>
      </c>
      <c r="F35" s="67">
        <f t="shared" ref="F35:F66" si="2">E35/D35</f>
        <v>1.1435917483610993</v>
      </c>
      <c r="G35" s="44">
        <v>39595</v>
      </c>
      <c r="H35" s="62">
        <f t="shared" si="1"/>
        <v>1.1906838275094724</v>
      </c>
    </row>
    <row r="36" spans="1:8" x14ac:dyDescent="0.2">
      <c r="A36" s="49" t="s">
        <v>87</v>
      </c>
      <c r="B36" s="49" t="s">
        <v>395</v>
      </c>
      <c r="C36" s="49" t="s">
        <v>394</v>
      </c>
      <c r="D36" s="52">
        <v>22654</v>
      </c>
      <c r="E36" s="52">
        <v>26054</v>
      </c>
      <c r="F36" s="66">
        <f t="shared" si="2"/>
        <v>1.1500838703981637</v>
      </c>
      <c r="G36" s="52">
        <v>28324</v>
      </c>
      <c r="H36" s="61">
        <f t="shared" si="1"/>
        <v>1.2502869250463495</v>
      </c>
    </row>
    <row r="37" spans="1:8" x14ac:dyDescent="0.2">
      <c r="A37" s="45" t="s">
        <v>86</v>
      </c>
      <c r="B37" s="45" t="s">
        <v>393</v>
      </c>
      <c r="C37" s="45" t="s">
        <v>392</v>
      </c>
      <c r="D37" s="44">
        <v>22155</v>
      </c>
      <c r="E37" s="44">
        <v>26401</v>
      </c>
      <c r="F37" s="67">
        <f t="shared" si="2"/>
        <v>1.1916497404649062</v>
      </c>
      <c r="G37" s="44">
        <v>29195</v>
      </c>
      <c r="H37" s="62">
        <f t="shared" si="1"/>
        <v>1.3177612277138344</v>
      </c>
    </row>
    <row r="38" spans="1:8" x14ac:dyDescent="0.2">
      <c r="A38" s="45" t="s">
        <v>86</v>
      </c>
      <c r="B38" s="45" t="s">
        <v>391</v>
      </c>
      <c r="C38" s="45" t="s">
        <v>390</v>
      </c>
      <c r="D38" s="44">
        <v>30331</v>
      </c>
      <c r="E38" s="44">
        <v>34058</v>
      </c>
      <c r="F38" s="67">
        <f t="shared" si="2"/>
        <v>1.1228775839899772</v>
      </c>
      <c r="G38" s="44">
        <v>36234</v>
      </c>
      <c r="H38" s="62">
        <f t="shared" si="1"/>
        <v>1.1946193663248821</v>
      </c>
    </row>
    <row r="39" spans="1:8" x14ac:dyDescent="0.2">
      <c r="A39" s="45" t="s">
        <v>86</v>
      </c>
      <c r="B39" s="45" t="s">
        <v>389</v>
      </c>
      <c r="C39" s="45" t="s">
        <v>388</v>
      </c>
      <c r="D39" s="44">
        <v>18353</v>
      </c>
      <c r="E39" s="44">
        <v>20046</v>
      </c>
      <c r="F39" s="67">
        <f t="shared" si="2"/>
        <v>1.0922464992099383</v>
      </c>
      <c r="G39" s="44">
        <v>21332</v>
      </c>
      <c r="H39" s="62">
        <f t="shared" si="1"/>
        <v>1.1623167874461942</v>
      </c>
    </row>
    <row r="40" spans="1:8" x14ac:dyDescent="0.2">
      <c r="A40" s="45" t="s">
        <v>86</v>
      </c>
      <c r="B40" s="45" t="s">
        <v>387</v>
      </c>
      <c r="C40" s="45" t="s">
        <v>386</v>
      </c>
      <c r="D40" s="44">
        <v>18562</v>
      </c>
      <c r="E40" s="44">
        <v>19862</v>
      </c>
      <c r="F40" s="67">
        <f t="shared" si="2"/>
        <v>1.0700355565133068</v>
      </c>
      <c r="G40" s="44">
        <v>21298</v>
      </c>
      <c r="H40" s="62">
        <f t="shared" si="1"/>
        <v>1.1473979097080056</v>
      </c>
    </row>
    <row r="41" spans="1:8" x14ac:dyDescent="0.2">
      <c r="A41" s="51" t="s">
        <v>88</v>
      </c>
      <c r="B41" s="51" t="s">
        <v>385</v>
      </c>
      <c r="C41" s="51" t="s">
        <v>384</v>
      </c>
      <c r="D41" s="57">
        <v>25075</v>
      </c>
      <c r="E41" s="57">
        <v>26593</v>
      </c>
      <c r="F41" s="65">
        <f t="shared" si="2"/>
        <v>1.0605383848454637</v>
      </c>
      <c r="G41" s="57">
        <v>29848</v>
      </c>
      <c r="H41" s="60">
        <f t="shared" si="1"/>
        <v>1.1903489531405782</v>
      </c>
    </row>
    <row r="42" spans="1:8" x14ac:dyDescent="0.2">
      <c r="A42" s="49" t="s">
        <v>87</v>
      </c>
      <c r="B42" s="49" t="s">
        <v>383</v>
      </c>
      <c r="C42" s="49" t="s">
        <v>382</v>
      </c>
      <c r="D42" s="52">
        <v>24856</v>
      </c>
      <c r="E42" s="52">
        <v>24928</v>
      </c>
      <c r="F42" s="66">
        <f t="shared" si="2"/>
        <v>1.0028966849050531</v>
      </c>
      <c r="G42" s="52">
        <v>30943</v>
      </c>
      <c r="H42" s="61">
        <f t="shared" si="1"/>
        <v>1.2448905696813646</v>
      </c>
    </row>
    <row r="43" spans="1:8" x14ac:dyDescent="0.2">
      <c r="A43" s="45" t="s">
        <v>86</v>
      </c>
      <c r="B43" s="45" t="s">
        <v>381</v>
      </c>
      <c r="C43" s="45" t="s">
        <v>380</v>
      </c>
      <c r="D43" s="44">
        <v>25620</v>
      </c>
      <c r="E43" s="44">
        <v>27283</v>
      </c>
      <c r="F43" s="67">
        <f t="shared" si="2"/>
        <v>1.0649102263856363</v>
      </c>
      <c r="G43" s="44">
        <v>28690</v>
      </c>
      <c r="H43" s="62">
        <f t="shared" si="1"/>
        <v>1.1198282591725215</v>
      </c>
    </row>
    <row r="44" spans="1:8" x14ac:dyDescent="0.2">
      <c r="A44" s="45" t="s">
        <v>86</v>
      </c>
      <c r="B44" s="45" t="s">
        <v>379</v>
      </c>
      <c r="C44" s="45" t="s">
        <v>378</v>
      </c>
      <c r="D44" s="44">
        <v>23992</v>
      </c>
      <c r="E44" s="44">
        <v>23153</v>
      </c>
      <c r="F44" s="67">
        <f t="shared" si="2"/>
        <v>0.96503001000333444</v>
      </c>
      <c r="G44" s="44">
        <v>28648</v>
      </c>
      <c r="H44" s="62">
        <f t="shared" si="1"/>
        <v>1.1940646882294097</v>
      </c>
    </row>
    <row r="45" spans="1:8" x14ac:dyDescent="0.2">
      <c r="A45" s="45" t="s">
        <v>86</v>
      </c>
      <c r="B45" s="45" t="s">
        <v>377</v>
      </c>
      <c r="C45" s="45" t="s">
        <v>376</v>
      </c>
      <c r="D45" s="44">
        <v>26214</v>
      </c>
      <c r="E45" s="44">
        <v>25710</v>
      </c>
      <c r="F45" s="67">
        <f t="shared" si="2"/>
        <v>0.98077363241016247</v>
      </c>
      <c r="G45" s="44">
        <v>35258</v>
      </c>
      <c r="H45" s="62">
        <f t="shared" si="1"/>
        <v>1.3450064850843062</v>
      </c>
    </row>
    <row r="46" spans="1:8" x14ac:dyDescent="0.2">
      <c r="A46" s="49" t="s">
        <v>87</v>
      </c>
      <c r="B46" s="49" t="s">
        <v>375</v>
      </c>
      <c r="C46" s="49" t="s">
        <v>371</v>
      </c>
      <c r="D46" s="52">
        <v>29835</v>
      </c>
      <c r="E46" s="52">
        <v>31297</v>
      </c>
      <c r="F46" s="66">
        <f t="shared" si="2"/>
        <v>1.0490028490028489</v>
      </c>
      <c r="G46" s="52">
        <v>33884</v>
      </c>
      <c r="H46" s="61">
        <f t="shared" si="1"/>
        <v>1.1357130886542652</v>
      </c>
    </row>
    <row r="47" spans="1:8" x14ac:dyDescent="0.2">
      <c r="A47" s="45" t="s">
        <v>86</v>
      </c>
      <c r="B47" s="45" t="s">
        <v>374</v>
      </c>
      <c r="C47" s="45" t="s">
        <v>373</v>
      </c>
      <c r="D47" s="44">
        <v>37180</v>
      </c>
      <c r="E47" s="44">
        <v>36947</v>
      </c>
      <c r="F47" s="67">
        <f t="shared" si="2"/>
        <v>0.99373318988703607</v>
      </c>
      <c r="G47" s="44">
        <v>38688</v>
      </c>
      <c r="H47" s="62">
        <f t="shared" si="1"/>
        <v>1.0405594405594405</v>
      </c>
    </row>
    <row r="48" spans="1:8" x14ac:dyDescent="0.2">
      <c r="A48" s="45" t="s">
        <v>86</v>
      </c>
      <c r="B48" s="45" t="s">
        <v>372</v>
      </c>
      <c r="C48" s="45" t="s">
        <v>371</v>
      </c>
      <c r="D48" s="44">
        <v>26435</v>
      </c>
      <c r="E48" s="44">
        <v>27543</v>
      </c>
      <c r="F48" s="67">
        <f t="shared" si="2"/>
        <v>1.0419141289956497</v>
      </c>
      <c r="G48" s="44">
        <v>32324</v>
      </c>
      <c r="H48" s="62">
        <f t="shared" si="1"/>
        <v>1.2227728390391526</v>
      </c>
    </row>
    <row r="49" spans="1:8" x14ac:dyDescent="0.2">
      <c r="A49" s="49" t="s">
        <v>87</v>
      </c>
      <c r="B49" s="49" t="s">
        <v>370</v>
      </c>
      <c r="C49" s="49" t="s">
        <v>369</v>
      </c>
      <c r="D49" s="52">
        <v>22176</v>
      </c>
      <c r="E49" s="52">
        <v>23278</v>
      </c>
      <c r="F49" s="66">
        <f t="shared" si="2"/>
        <v>1.0496933621933622</v>
      </c>
      <c r="G49" s="52">
        <v>25821</v>
      </c>
      <c r="H49" s="61">
        <f t="shared" si="1"/>
        <v>1.1643668831168832</v>
      </c>
    </row>
    <row r="50" spans="1:8" x14ac:dyDescent="0.2">
      <c r="A50" s="45" t="s">
        <v>86</v>
      </c>
      <c r="B50" s="45" t="s">
        <v>368</v>
      </c>
      <c r="C50" s="45" t="s">
        <v>367</v>
      </c>
      <c r="D50" s="44">
        <v>25241</v>
      </c>
      <c r="E50" s="44">
        <v>26482</v>
      </c>
      <c r="F50" s="67">
        <f t="shared" si="2"/>
        <v>1.0491660393803732</v>
      </c>
      <c r="G50" s="44">
        <v>29993</v>
      </c>
      <c r="H50" s="62">
        <f t="shared" si="1"/>
        <v>1.188265124202686</v>
      </c>
    </row>
    <row r="51" spans="1:8" x14ac:dyDescent="0.2">
      <c r="A51" s="45" t="s">
        <v>86</v>
      </c>
      <c r="B51" s="45" t="s">
        <v>366</v>
      </c>
      <c r="C51" s="45" t="s">
        <v>365</v>
      </c>
      <c r="D51" s="44">
        <v>19142</v>
      </c>
      <c r="E51" s="44">
        <v>19623</v>
      </c>
      <c r="F51" s="67">
        <f t="shared" si="2"/>
        <v>1.0251279908055584</v>
      </c>
      <c r="G51" s="44">
        <v>21489</v>
      </c>
      <c r="H51" s="62">
        <f t="shared" si="1"/>
        <v>1.1226099676104899</v>
      </c>
    </row>
    <row r="52" spans="1:8" x14ac:dyDescent="0.2">
      <c r="A52" s="45" t="s">
        <v>86</v>
      </c>
      <c r="B52" s="45" t="s">
        <v>364</v>
      </c>
      <c r="C52" s="45" t="s">
        <v>363</v>
      </c>
      <c r="D52" s="44">
        <v>16396</v>
      </c>
      <c r="E52" s="44">
        <v>16701</v>
      </c>
      <c r="F52" s="67">
        <f t="shared" si="2"/>
        <v>1.0186020980727006</v>
      </c>
      <c r="G52" s="44">
        <v>23261</v>
      </c>
      <c r="H52" s="62">
        <f t="shared" si="1"/>
        <v>1.4186996828494756</v>
      </c>
    </row>
    <row r="53" spans="1:8" x14ac:dyDescent="0.2">
      <c r="A53" s="45" t="s">
        <v>86</v>
      </c>
      <c r="B53" s="45" t="s">
        <v>362</v>
      </c>
      <c r="C53" s="45" t="s">
        <v>361</v>
      </c>
      <c r="D53" s="44">
        <v>16136</v>
      </c>
      <c r="E53" s="44">
        <v>16612</v>
      </c>
      <c r="F53" s="67">
        <f t="shared" si="2"/>
        <v>1.0294992563212693</v>
      </c>
      <c r="G53" s="44">
        <v>23996</v>
      </c>
      <c r="H53" s="62">
        <f t="shared" si="1"/>
        <v>1.487109568666336</v>
      </c>
    </row>
    <row r="54" spans="1:8" x14ac:dyDescent="0.2">
      <c r="A54" s="49" t="s">
        <v>87</v>
      </c>
      <c r="B54" s="49" t="s">
        <v>360</v>
      </c>
      <c r="C54" s="49" t="s">
        <v>359</v>
      </c>
      <c r="D54" s="52">
        <v>25274</v>
      </c>
      <c r="E54" s="52">
        <v>27604</v>
      </c>
      <c r="F54" s="66">
        <f t="shared" si="2"/>
        <v>1.092189601962491</v>
      </c>
      <c r="G54" s="52">
        <v>30372</v>
      </c>
      <c r="H54" s="61">
        <f t="shared" si="1"/>
        <v>1.2017092664398197</v>
      </c>
    </row>
    <row r="55" spans="1:8" x14ac:dyDescent="0.2">
      <c r="A55" s="45" t="s">
        <v>86</v>
      </c>
      <c r="B55" s="45" t="s">
        <v>358</v>
      </c>
      <c r="C55" s="45" t="s">
        <v>357</v>
      </c>
      <c r="D55" s="44">
        <v>21610</v>
      </c>
      <c r="E55" s="44">
        <v>21927</v>
      </c>
      <c r="F55" s="67">
        <f t="shared" si="2"/>
        <v>1.0146691346598797</v>
      </c>
      <c r="G55" s="44">
        <v>22916</v>
      </c>
      <c r="H55" s="62">
        <f t="shared" si="1"/>
        <v>1.0604349838037945</v>
      </c>
    </row>
    <row r="56" spans="1:8" x14ac:dyDescent="0.2">
      <c r="A56" s="45" t="s">
        <v>86</v>
      </c>
      <c r="B56" s="45" t="s">
        <v>356</v>
      </c>
      <c r="C56" s="45" t="s">
        <v>355</v>
      </c>
      <c r="D56" s="44">
        <v>32032</v>
      </c>
      <c r="E56" s="44">
        <v>37467</v>
      </c>
      <c r="F56" s="67">
        <f t="shared" si="2"/>
        <v>1.169674075924076</v>
      </c>
      <c r="G56" s="44">
        <v>40040</v>
      </c>
      <c r="H56" s="62">
        <f t="shared" si="1"/>
        <v>1.25</v>
      </c>
    </row>
    <row r="57" spans="1:8" x14ac:dyDescent="0.2">
      <c r="A57" s="45" t="s">
        <v>86</v>
      </c>
      <c r="B57" s="45" t="s">
        <v>354</v>
      </c>
      <c r="C57" s="45" t="s">
        <v>353</v>
      </c>
      <c r="D57" s="44">
        <v>20819</v>
      </c>
      <c r="E57" s="44">
        <v>21300</v>
      </c>
      <c r="F57" s="67">
        <f t="shared" si="2"/>
        <v>1.0231038954800904</v>
      </c>
      <c r="G57" s="44">
        <v>25514</v>
      </c>
      <c r="H57" s="62">
        <f t="shared" si="1"/>
        <v>1.2255151544262453</v>
      </c>
    </row>
    <row r="58" spans="1:8" x14ac:dyDescent="0.2">
      <c r="A58" s="45" t="s">
        <v>86</v>
      </c>
      <c r="B58" s="45" t="s">
        <v>352</v>
      </c>
      <c r="C58" s="45" t="s">
        <v>351</v>
      </c>
      <c r="D58" s="44">
        <v>27756</v>
      </c>
      <c r="E58" s="44">
        <v>26411</v>
      </c>
      <c r="F58" s="67">
        <f t="shared" si="2"/>
        <v>0.95154200893500507</v>
      </c>
      <c r="G58" s="44">
        <v>28433</v>
      </c>
      <c r="H58" s="62">
        <f t="shared" si="1"/>
        <v>1.0243911226401499</v>
      </c>
    </row>
    <row r="59" spans="1:8" x14ac:dyDescent="0.2">
      <c r="A59" s="51" t="s">
        <v>88</v>
      </c>
      <c r="B59" s="51" t="s">
        <v>350</v>
      </c>
      <c r="C59" s="51" t="s">
        <v>349</v>
      </c>
      <c r="D59" s="57">
        <v>26156</v>
      </c>
      <c r="E59" s="57">
        <v>27660</v>
      </c>
      <c r="F59" s="65">
        <f t="shared" si="2"/>
        <v>1.0575011469643676</v>
      </c>
      <c r="G59" s="57">
        <v>29335</v>
      </c>
      <c r="H59" s="60">
        <f t="shared" si="1"/>
        <v>1.1215399908242851</v>
      </c>
    </row>
    <row r="60" spans="1:8" x14ac:dyDescent="0.2">
      <c r="A60" s="49" t="s">
        <v>87</v>
      </c>
      <c r="B60" s="49" t="s">
        <v>348</v>
      </c>
      <c r="C60" s="49" t="s">
        <v>347</v>
      </c>
      <c r="D60" s="52">
        <v>25543</v>
      </c>
      <c r="E60" s="52">
        <v>27432</v>
      </c>
      <c r="F60" s="66">
        <f t="shared" si="2"/>
        <v>1.0739537250910229</v>
      </c>
      <c r="G60" s="52">
        <v>28811</v>
      </c>
      <c r="H60" s="61">
        <f t="shared" si="1"/>
        <v>1.1279411188975452</v>
      </c>
    </row>
    <row r="61" spans="1:8" x14ac:dyDescent="0.2">
      <c r="A61" s="45" t="s">
        <v>86</v>
      </c>
      <c r="B61" s="45" t="s">
        <v>346</v>
      </c>
      <c r="C61" s="45" t="s">
        <v>345</v>
      </c>
      <c r="D61" s="44">
        <v>34743</v>
      </c>
      <c r="E61" s="44">
        <v>37345</v>
      </c>
      <c r="F61" s="67">
        <f t="shared" si="2"/>
        <v>1.0748927841579599</v>
      </c>
      <c r="G61" s="44">
        <v>36759</v>
      </c>
      <c r="H61" s="62">
        <f t="shared" si="1"/>
        <v>1.0580260771954062</v>
      </c>
    </row>
    <row r="62" spans="1:8" x14ac:dyDescent="0.2">
      <c r="A62" s="45" t="s">
        <v>86</v>
      </c>
      <c r="B62" s="45" t="s">
        <v>344</v>
      </c>
      <c r="C62" s="45" t="s">
        <v>343</v>
      </c>
      <c r="D62" s="44">
        <v>22249</v>
      </c>
      <c r="E62" s="44">
        <v>23479</v>
      </c>
      <c r="F62" s="67">
        <f t="shared" si="2"/>
        <v>1.055283383522855</v>
      </c>
      <c r="G62" s="44">
        <v>27874</v>
      </c>
      <c r="H62" s="62">
        <f t="shared" si="1"/>
        <v>1.2528203514764709</v>
      </c>
    </row>
    <row r="63" spans="1:8" x14ac:dyDescent="0.2">
      <c r="A63" s="45" t="s">
        <v>86</v>
      </c>
      <c r="B63" s="45" t="s">
        <v>342</v>
      </c>
      <c r="C63" s="45" t="s">
        <v>341</v>
      </c>
      <c r="D63" s="44">
        <v>22341</v>
      </c>
      <c r="E63" s="44">
        <v>23845</v>
      </c>
      <c r="F63" s="67">
        <f t="shared" si="2"/>
        <v>1.0673201736717246</v>
      </c>
      <c r="G63" s="44">
        <v>26619</v>
      </c>
      <c r="H63" s="62">
        <f t="shared" si="1"/>
        <v>1.1914865046327381</v>
      </c>
    </row>
    <row r="64" spans="1:8" x14ac:dyDescent="0.2">
      <c r="A64" s="45" t="s">
        <v>86</v>
      </c>
      <c r="B64" s="45" t="s">
        <v>340</v>
      </c>
      <c r="C64" s="45" t="s">
        <v>339</v>
      </c>
      <c r="D64" s="44">
        <v>38090</v>
      </c>
      <c r="E64" s="44">
        <v>38289</v>
      </c>
      <c r="F64" s="67">
        <f t="shared" si="2"/>
        <v>1.0052244683644</v>
      </c>
      <c r="G64" s="44">
        <v>37532</v>
      </c>
      <c r="H64" s="62">
        <f t="shared" si="1"/>
        <v>0.98535048569178263</v>
      </c>
    </row>
    <row r="65" spans="1:8" x14ac:dyDescent="0.2">
      <c r="A65" s="45" t="s">
        <v>86</v>
      </c>
      <c r="B65" s="45" t="s">
        <v>338</v>
      </c>
      <c r="C65" s="45" t="s">
        <v>337</v>
      </c>
      <c r="D65" s="44">
        <v>22181</v>
      </c>
      <c r="E65" s="44">
        <v>23458</v>
      </c>
      <c r="F65" s="67">
        <f t="shared" si="2"/>
        <v>1.0575717956809882</v>
      </c>
      <c r="G65" s="44">
        <v>24954</v>
      </c>
      <c r="H65" s="62">
        <f t="shared" si="1"/>
        <v>1.1250169063613003</v>
      </c>
    </row>
    <row r="66" spans="1:8" x14ac:dyDescent="0.2">
      <c r="A66" s="45" t="s">
        <v>86</v>
      </c>
      <c r="B66" s="45" t="s">
        <v>336</v>
      </c>
      <c r="C66" s="45" t="s">
        <v>335</v>
      </c>
      <c r="D66" s="44">
        <v>21194</v>
      </c>
      <c r="E66" s="44">
        <v>22459</v>
      </c>
      <c r="F66" s="67">
        <f t="shared" si="2"/>
        <v>1.0596867037840898</v>
      </c>
      <c r="G66" s="44">
        <v>24222</v>
      </c>
      <c r="H66" s="62">
        <f t="shared" si="1"/>
        <v>1.1428706237614419</v>
      </c>
    </row>
    <row r="67" spans="1:8" x14ac:dyDescent="0.2">
      <c r="A67" s="49" t="s">
        <v>87</v>
      </c>
      <c r="B67" s="49" t="s">
        <v>334</v>
      </c>
      <c r="C67" s="49" t="s">
        <v>333</v>
      </c>
      <c r="D67" s="52">
        <v>27787</v>
      </c>
      <c r="E67" s="52">
        <v>29216</v>
      </c>
      <c r="F67" s="66">
        <f t="shared" ref="F67:F98" si="3">E67/D67</f>
        <v>1.0514269262604816</v>
      </c>
      <c r="G67" s="52">
        <v>31076</v>
      </c>
      <c r="H67" s="61">
        <f t="shared" si="1"/>
        <v>1.118364702918631</v>
      </c>
    </row>
    <row r="68" spans="1:8" x14ac:dyDescent="0.2">
      <c r="A68" s="45" t="s">
        <v>86</v>
      </c>
      <c r="B68" s="45" t="s">
        <v>332</v>
      </c>
      <c r="C68" s="45" t="s">
        <v>331</v>
      </c>
      <c r="D68" s="44">
        <v>26317</v>
      </c>
      <c r="E68" s="44">
        <v>27653</v>
      </c>
      <c r="F68" s="67">
        <f t="shared" si="3"/>
        <v>1.0507656647794201</v>
      </c>
      <c r="G68" s="44">
        <v>29283</v>
      </c>
      <c r="H68" s="62">
        <f t="shared" ref="H68:H131" si="4">G68/D68</f>
        <v>1.1127028156704792</v>
      </c>
    </row>
    <row r="69" spans="1:8" x14ac:dyDescent="0.2">
      <c r="A69" s="45" t="s">
        <v>86</v>
      </c>
      <c r="B69" s="45" t="s">
        <v>330</v>
      </c>
      <c r="C69" s="45" t="s">
        <v>329</v>
      </c>
      <c r="D69" s="44">
        <v>28575</v>
      </c>
      <c r="E69" s="44">
        <v>29997</v>
      </c>
      <c r="F69" s="67">
        <f t="shared" si="3"/>
        <v>1.0497637795275589</v>
      </c>
      <c r="G69" s="44">
        <v>30943</v>
      </c>
      <c r="H69" s="62">
        <f t="shared" si="4"/>
        <v>1.0828696412948382</v>
      </c>
    </row>
    <row r="70" spans="1:8" x14ac:dyDescent="0.2">
      <c r="A70" s="45" t="s">
        <v>86</v>
      </c>
      <c r="B70" s="45" t="s">
        <v>328</v>
      </c>
      <c r="C70" s="45" t="s">
        <v>327</v>
      </c>
      <c r="D70" s="44">
        <v>32845</v>
      </c>
      <c r="E70" s="44">
        <v>35162</v>
      </c>
      <c r="F70" s="67">
        <f t="shared" si="3"/>
        <v>1.0705434617141116</v>
      </c>
      <c r="G70" s="44">
        <v>37488</v>
      </c>
      <c r="H70" s="62">
        <f t="shared" si="4"/>
        <v>1.1413609377378597</v>
      </c>
    </row>
    <row r="71" spans="1:8" x14ac:dyDescent="0.2">
      <c r="A71" s="45" t="s">
        <v>86</v>
      </c>
      <c r="B71" s="45" t="s">
        <v>326</v>
      </c>
      <c r="C71" s="45" t="s">
        <v>325</v>
      </c>
      <c r="D71" s="44">
        <v>25030</v>
      </c>
      <c r="E71" s="44">
        <v>24460</v>
      </c>
      <c r="F71" s="67">
        <f t="shared" si="3"/>
        <v>0.97722732720735117</v>
      </c>
      <c r="G71" s="44">
        <v>25504</v>
      </c>
      <c r="H71" s="62">
        <f t="shared" si="4"/>
        <v>1.0189372752696764</v>
      </c>
    </row>
    <row r="72" spans="1:8" x14ac:dyDescent="0.2">
      <c r="A72" s="49" t="s">
        <v>87</v>
      </c>
      <c r="B72" s="49" t="s">
        <v>324</v>
      </c>
      <c r="C72" s="49" t="s">
        <v>323</v>
      </c>
      <c r="D72" s="52">
        <v>24138</v>
      </c>
      <c r="E72" s="52">
        <v>24638</v>
      </c>
      <c r="F72" s="66">
        <f t="shared" si="3"/>
        <v>1.0207142265307814</v>
      </c>
      <c r="G72" s="52">
        <v>26509</v>
      </c>
      <c r="H72" s="61">
        <f t="shared" si="4"/>
        <v>1.098226862208965</v>
      </c>
    </row>
    <row r="73" spans="1:8" x14ac:dyDescent="0.2">
      <c r="A73" s="45" t="s">
        <v>86</v>
      </c>
      <c r="B73" s="45" t="s">
        <v>322</v>
      </c>
      <c r="C73" s="45" t="s">
        <v>321</v>
      </c>
      <c r="D73" s="44">
        <v>24580</v>
      </c>
      <c r="E73" s="44">
        <v>24632</v>
      </c>
      <c r="F73" s="67">
        <f t="shared" si="3"/>
        <v>1.0021155410903173</v>
      </c>
      <c r="G73" s="44">
        <v>26536</v>
      </c>
      <c r="H73" s="62">
        <f t="shared" si="4"/>
        <v>1.0795768917819366</v>
      </c>
    </row>
    <row r="74" spans="1:8" x14ac:dyDescent="0.2">
      <c r="A74" s="51" t="s">
        <v>88</v>
      </c>
      <c r="B74" s="51" t="s">
        <v>320</v>
      </c>
      <c r="C74" s="51" t="s">
        <v>300</v>
      </c>
      <c r="D74" s="57">
        <v>26197</v>
      </c>
      <c r="E74" s="57">
        <v>27167</v>
      </c>
      <c r="F74" s="65">
        <f t="shared" si="3"/>
        <v>1.0370271405122724</v>
      </c>
      <c r="G74" s="57">
        <v>29477</v>
      </c>
      <c r="H74" s="60">
        <f t="shared" si="4"/>
        <v>1.1252051761652098</v>
      </c>
    </row>
    <row r="75" spans="1:8" x14ac:dyDescent="0.2">
      <c r="A75" s="49" t="s">
        <v>87</v>
      </c>
      <c r="B75" s="49" t="s">
        <v>319</v>
      </c>
      <c r="C75" s="49" t="s">
        <v>318</v>
      </c>
      <c r="D75" s="52">
        <v>26900</v>
      </c>
      <c r="E75" s="52">
        <v>29078</v>
      </c>
      <c r="F75" s="66">
        <f t="shared" si="3"/>
        <v>1.0809665427509294</v>
      </c>
      <c r="G75" s="52">
        <v>32857</v>
      </c>
      <c r="H75" s="61">
        <f t="shared" si="4"/>
        <v>1.2214498141263941</v>
      </c>
    </row>
    <row r="76" spans="1:8" x14ac:dyDescent="0.2">
      <c r="A76" s="45" t="s">
        <v>86</v>
      </c>
      <c r="B76" s="45" t="s">
        <v>317</v>
      </c>
      <c r="C76" s="45" t="s">
        <v>316</v>
      </c>
      <c r="D76" s="44">
        <v>24268</v>
      </c>
      <c r="E76" s="44">
        <v>23977</v>
      </c>
      <c r="F76" s="67">
        <f t="shared" si="3"/>
        <v>0.98800890060985658</v>
      </c>
      <c r="G76" s="44">
        <v>26737</v>
      </c>
      <c r="H76" s="62">
        <f t="shared" si="4"/>
        <v>1.1017389154442063</v>
      </c>
    </row>
    <row r="77" spans="1:8" x14ac:dyDescent="0.2">
      <c r="A77" s="45" t="s">
        <v>86</v>
      </c>
      <c r="B77" s="45" t="s">
        <v>315</v>
      </c>
      <c r="C77" s="45" t="s">
        <v>314</v>
      </c>
      <c r="D77" s="44">
        <v>25565</v>
      </c>
      <c r="E77" s="44">
        <v>27352</v>
      </c>
      <c r="F77" s="67">
        <f t="shared" si="3"/>
        <v>1.0699002542538627</v>
      </c>
      <c r="G77" s="44">
        <v>29124</v>
      </c>
      <c r="H77" s="62">
        <f t="shared" si="4"/>
        <v>1.1392137688245649</v>
      </c>
    </row>
    <row r="78" spans="1:8" x14ac:dyDescent="0.2">
      <c r="A78" s="45" t="s">
        <v>86</v>
      </c>
      <c r="B78" s="45" t="s">
        <v>313</v>
      </c>
      <c r="C78" s="45" t="s">
        <v>312</v>
      </c>
      <c r="D78" s="44">
        <v>31455</v>
      </c>
      <c r="E78" s="44">
        <v>33963</v>
      </c>
      <c r="F78" s="67">
        <f t="shared" si="3"/>
        <v>1.0797329518359562</v>
      </c>
      <c r="G78" s="44">
        <v>38538</v>
      </c>
      <c r="H78" s="62">
        <f t="shared" si="4"/>
        <v>1.225178826895565</v>
      </c>
    </row>
    <row r="79" spans="1:8" x14ac:dyDescent="0.2">
      <c r="A79" s="49" t="s">
        <v>87</v>
      </c>
      <c r="B79" s="49" t="s">
        <v>311</v>
      </c>
      <c r="C79" s="49" t="s">
        <v>310</v>
      </c>
      <c r="D79" s="52">
        <v>24004</v>
      </c>
      <c r="E79" s="52">
        <v>25912</v>
      </c>
      <c r="F79" s="66">
        <f t="shared" si="3"/>
        <v>1.0794867522079654</v>
      </c>
      <c r="G79" s="52">
        <v>28702</v>
      </c>
      <c r="H79" s="61">
        <f t="shared" si="4"/>
        <v>1.1957173804365939</v>
      </c>
    </row>
    <row r="80" spans="1:8" x14ac:dyDescent="0.2">
      <c r="A80" s="45" t="s">
        <v>86</v>
      </c>
      <c r="B80" s="45" t="s">
        <v>309</v>
      </c>
      <c r="C80" s="45" t="s">
        <v>308</v>
      </c>
      <c r="D80" s="44">
        <v>28784</v>
      </c>
      <c r="E80" s="44">
        <v>29208</v>
      </c>
      <c r="F80" s="67">
        <f t="shared" si="3"/>
        <v>1.0147304057809894</v>
      </c>
      <c r="G80" s="44">
        <v>34183</v>
      </c>
      <c r="H80" s="62">
        <f t="shared" si="4"/>
        <v>1.1875694830461367</v>
      </c>
    </row>
    <row r="81" spans="1:8" x14ac:dyDescent="0.2">
      <c r="A81" s="45" t="s">
        <v>86</v>
      </c>
      <c r="B81" s="45" t="s">
        <v>307</v>
      </c>
      <c r="C81" s="45" t="s">
        <v>306</v>
      </c>
      <c r="D81" s="44">
        <v>24303</v>
      </c>
      <c r="E81" s="44">
        <v>24827</v>
      </c>
      <c r="F81" s="67">
        <f t="shared" si="3"/>
        <v>1.0215611241410525</v>
      </c>
      <c r="G81" s="44">
        <v>25975</v>
      </c>
      <c r="H81" s="62">
        <f t="shared" si="4"/>
        <v>1.0687980907706867</v>
      </c>
    </row>
    <row r="82" spans="1:8" x14ac:dyDescent="0.2">
      <c r="A82" s="45" t="s">
        <v>86</v>
      </c>
      <c r="B82" s="45" t="s">
        <v>305</v>
      </c>
      <c r="C82" s="45" t="s">
        <v>304</v>
      </c>
      <c r="D82" s="44">
        <v>19529</v>
      </c>
      <c r="E82" s="44">
        <v>23669</v>
      </c>
      <c r="F82" s="67">
        <f t="shared" si="3"/>
        <v>1.21199242152696</v>
      </c>
      <c r="G82" s="44">
        <v>29010</v>
      </c>
      <c r="H82" s="62">
        <f t="shared" si="4"/>
        <v>1.4854831276563061</v>
      </c>
    </row>
    <row r="83" spans="1:8" x14ac:dyDescent="0.2">
      <c r="A83" s="45" t="s">
        <v>86</v>
      </c>
      <c r="B83" s="45" t="s">
        <v>303</v>
      </c>
      <c r="C83" s="45" t="s">
        <v>302</v>
      </c>
      <c r="D83" s="44">
        <v>24939</v>
      </c>
      <c r="E83" s="44">
        <v>26483</v>
      </c>
      <c r="F83" s="67">
        <f t="shared" si="3"/>
        <v>1.0619110629937047</v>
      </c>
      <c r="G83" s="44">
        <v>28507</v>
      </c>
      <c r="H83" s="62">
        <f t="shared" si="4"/>
        <v>1.1430690885761257</v>
      </c>
    </row>
    <row r="84" spans="1:8" x14ac:dyDescent="0.2">
      <c r="A84" s="49" t="s">
        <v>87</v>
      </c>
      <c r="B84" s="49" t="s">
        <v>301</v>
      </c>
      <c r="C84" s="49" t="s">
        <v>300</v>
      </c>
      <c r="D84" s="52">
        <v>27194</v>
      </c>
      <c r="E84" s="52">
        <v>27017</v>
      </c>
      <c r="F84" s="66">
        <f t="shared" si="3"/>
        <v>0.99349121129660956</v>
      </c>
      <c r="G84" s="52">
        <v>28302</v>
      </c>
      <c r="H84" s="61">
        <f t="shared" si="4"/>
        <v>1.0407442818268735</v>
      </c>
    </row>
    <row r="85" spans="1:8" x14ac:dyDescent="0.2">
      <c r="A85" s="45" t="s">
        <v>86</v>
      </c>
      <c r="B85" s="45" t="s">
        <v>299</v>
      </c>
      <c r="C85" s="45" t="s">
        <v>298</v>
      </c>
      <c r="D85" s="44">
        <v>27970</v>
      </c>
      <c r="E85" s="44">
        <v>28186</v>
      </c>
      <c r="F85" s="67">
        <f t="shared" si="3"/>
        <v>1.0077225598855917</v>
      </c>
      <c r="G85" s="44">
        <v>29572</v>
      </c>
      <c r="H85" s="62">
        <f t="shared" si="4"/>
        <v>1.057275652484805</v>
      </c>
    </row>
    <row r="86" spans="1:8" x14ac:dyDescent="0.2">
      <c r="A86" s="45" t="s">
        <v>86</v>
      </c>
      <c r="B86" s="45" t="s">
        <v>297</v>
      </c>
      <c r="C86" s="45" t="s">
        <v>296</v>
      </c>
      <c r="D86" s="44">
        <v>40889</v>
      </c>
      <c r="E86" s="44">
        <v>40982</v>
      </c>
      <c r="F86" s="67">
        <f t="shared" si="3"/>
        <v>1.0022744503411676</v>
      </c>
      <c r="G86" s="44">
        <v>46331</v>
      </c>
      <c r="H86" s="62">
        <f t="shared" si="4"/>
        <v>1.1330920296412239</v>
      </c>
    </row>
    <row r="87" spans="1:8" x14ac:dyDescent="0.2">
      <c r="A87" s="45" t="s">
        <v>86</v>
      </c>
      <c r="B87" s="45" t="s">
        <v>295</v>
      </c>
      <c r="C87" s="45" t="s">
        <v>294</v>
      </c>
      <c r="D87" s="44">
        <v>33067</v>
      </c>
      <c r="E87" s="44">
        <v>34189</v>
      </c>
      <c r="F87" s="67">
        <f t="shared" si="3"/>
        <v>1.0339311095654278</v>
      </c>
      <c r="G87" s="44">
        <v>33991</v>
      </c>
      <c r="H87" s="62">
        <f t="shared" si="4"/>
        <v>1.0279432667009405</v>
      </c>
    </row>
    <row r="88" spans="1:8" x14ac:dyDescent="0.2">
      <c r="A88" s="45" t="s">
        <v>86</v>
      </c>
      <c r="B88" s="45" t="s">
        <v>293</v>
      </c>
      <c r="C88" s="45" t="s">
        <v>292</v>
      </c>
      <c r="D88" s="44">
        <v>20922</v>
      </c>
      <c r="E88" s="44">
        <v>20488</v>
      </c>
      <c r="F88" s="67">
        <f t="shared" si="3"/>
        <v>0.9792562852499761</v>
      </c>
      <c r="G88" s="44">
        <v>20814</v>
      </c>
      <c r="H88" s="62">
        <f t="shared" si="4"/>
        <v>0.99483796960137649</v>
      </c>
    </row>
    <row r="89" spans="1:8" x14ac:dyDescent="0.2">
      <c r="A89" s="45" t="s">
        <v>86</v>
      </c>
      <c r="B89" s="45" t="s">
        <v>291</v>
      </c>
      <c r="C89" s="45" t="s">
        <v>290</v>
      </c>
      <c r="D89" s="44">
        <v>26760</v>
      </c>
      <c r="E89" s="44">
        <v>22167</v>
      </c>
      <c r="F89" s="67">
        <f t="shared" si="3"/>
        <v>0.82836322869955159</v>
      </c>
      <c r="G89" s="44">
        <v>22979</v>
      </c>
      <c r="H89" s="62">
        <f t="shared" si="4"/>
        <v>0.85870702541106125</v>
      </c>
    </row>
    <row r="90" spans="1:8" x14ac:dyDescent="0.2">
      <c r="A90" s="45" t="s">
        <v>86</v>
      </c>
      <c r="B90" s="45" t="s">
        <v>289</v>
      </c>
      <c r="C90" s="45" t="s">
        <v>288</v>
      </c>
      <c r="D90" s="44">
        <v>20667</v>
      </c>
      <c r="E90" s="44">
        <v>20250</v>
      </c>
      <c r="F90" s="67">
        <f t="shared" si="3"/>
        <v>0.97982290608215994</v>
      </c>
      <c r="G90" s="44">
        <v>20821</v>
      </c>
      <c r="H90" s="62">
        <f t="shared" si="4"/>
        <v>1.0074514927178595</v>
      </c>
    </row>
    <row r="91" spans="1:8" x14ac:dyDescent="0.2">
      <c r="A91" s="45" t="s">
        <v>86</v>
      </c>
      <c r="B91" s="45" t="s">
        <v>287</v>
      </c>
      <c r="C91" s="45" t="s">
        <v>286</v>
      </c>
      <c r="D91" s="44">
        <v>26176</v>
      </c>
      <c r="E91" s="44">
        <v>25196</v>
      </c>
      <c r="F91" s="67">
        <f t="shared" si="3"/>
        <v>0.96256112469437649</v>
      </c>
      <c r="G91" s="44">
        <v>25110</v>
      </c>
      <c r="H91" s="62">
        <f t="shared" si="4"/>
        <v>0.95927567237163813</v>
      </c>
    </row>
    <row r="92" spans="1:8" x14ac:dyDescent="0.2">
      <c r="A92" s="51" t="s">
        <v>88</v>
      </c>
      <c r="B92" s="51" t="s">
        <v>285</v>
      </c>
      <c r="C92" s="51" t="s">
        <v>284</v>
      </c>
      <c r="D92" s="57">
        <v>27921</v>
      </c>
      <c r="E92" s="57">
        <v>29310</v>
      </c>
      <c r="F92" s="65">
        <f t="shared" si="3"/>
        <v>1.0497475018803051</v>
      </c>
      <c r="G92" s="57">
        <v>32202</v>
      </c>
      <c r="H92" s="60">
        <f t="shared" si="4"/>
        <v>1.1533254539593853</v>
      </c>
    </row>
    <row r="93" spans="1:8" x14ac:dyDescent="0.2">
      <c r="A93" s="49" t="s">
        <v>87</v>
      </c>
      <c r="B93" s="49" t="s">
        <v>283</v>
      </c>
      <c r="C93" s="49" t="s">
        <v>282</v>
      </c>
      <c r="D93" s="52">
        <v>30169</v>
      </c>
      <c r="E93" s="52">
        <v>31113</v>
      </c>
      <c r="F93" s="66">
        <f t="shared" si="3"/>
        <v>1.0312903974278234</v>
      </c>
      <c r="G93" s="52">
        <v>35801</v>
      </c>
      <c r="H93" s="61">
        <f t="shared" si="4"/>
        <v>1.1866816931287083</v>
      </c>
    </row>
    <row r="94" spans="1:8" x14ac:dyDescent="0.2">
      <c r="A94" s="45" t="s">
        <v>86</v>
      </c>
      <c r="B94" s="45" t="s">
        <v>281</v>
      </c>
      <c r="C94" s="45" t="s">
        <v>280</v>
      </c>
      <c r="D94" s="44">
        <v>23878</v>
      </c>
      <c r="E94" s="44">
        <v>24464</v>
      </c>
      <c r="F94" s="67">
        <f t="shared" si="3"/>
        <v>1.0245414188793032</v>
      </c>
      <c r="G94" s="44">
        <v>23369</v>
      </c>
      <c r="H94" s="62">
        <f t="shared" si="4"/>
        <v>0.97868330680961557</v>
      </c>
    </row>
    <row r="95" spans="1:8" x14ac:dyDescent="0.2">
      <c r="A95" s="45" t="s">
        <v>86</v>
      </c>
      <c r="B95" s="45" t="s">
        <v>279</v>
      </c>
      <c r="C95" s="45" t="s">
        <v>278</v>
      </c>
      <c r="D95" s="44">
        <v>29561</v>
      </c>
      <c r="E95" s="44">
        <v>27863</v>
      </c>
      <c r="F95" s="67">
        <f t="shared" si="3"/>
        <v>0.94255945333378433</v>
      </c>
      <c r="G95" s="44">
        <v>28649</v>
      </c>
      <c r="H95" s="62">
        <f t="shared" si="4"/>
        <v>0.9691485403064849</v>
      </c>
    </row>
    <row r="96" spans="1:8" x14ac:dyDescent="0.2">
      <c r="A96" s="45" t="s">
        <v>86</v>
      </c>
      <c r="B96" s="45" t="s">
        <v>277</v>
      </c>
      <c r="C96" s="45" t="s">
        <v>276</v>
      </c>
      <c r="D96" s="44">
        <v>26555</v>
      </c>
      <c r="E96" s="44">
        <v>25067</v>
      </c>
      <c r="F96" s="67">
        <f t="shared" si="3"/>
        <v>0.94396535492374323</v>
      </c>
      <c r="G96" s="44">
        <v>25219</v>
      </c>
      <c r="H96" s="62">
        <f t="shared" si="4"/>
        <v>0.94968932404443607</v>
      </c>
    </row>
    <row r="97" spans="1:8" x14ac:dyDescent="0.2">
      <c r="A97" s="45" t="s">
        <v>86</v>
      </c>
      <c r="B97" s="45" t="s">
        <v>275</v>
      </c>
      <c r="C97" s="45" t="s">
        <v>274</v>
      </c>
      <c r="D97" s="44">
        <v>30322</v>
      </c>
      <c r="E97" s="44">
        <v>31508</v>
      </c>
      <c r="F97" s="67">
        <f t="shared" si="3"/>
        <v>1.0391135149396478</v>
      </c>
      <c r="G97" s="44">
        <v>38625</v>
      </c>
      <c r="H97" s="62">
        <f t="shared" si="4"/>
        <v>1.2738275839324582</v>
      </c>
    </row>
    <row r="98" spans="1:8" x14ac:dyDescent="0.2">
      <c r="A98" s="45" t="s">
        <v>86</v>
      </c>
      <c r="B98" s="45" t="s">
        <v>273</v>
      </c>
      <c r="C98" s="45" t="s">
        <v>272</v>
      </c>
      <c r="D98" s="44">
        <v>36038</v>
      </c>
      <c r="E98" s="44">
        <v>37329</v>
      </c>
      <c r="F98" s="67">
        <f t="shared" si="3"/>
        <v>1.0358232976302792</v>
      </c>
      <c r="G98" s="44">
        <v>45735</v>
      </c>
      <c r="H98" s="62">
        <f t="shared" si="4"/>
        <v>1.2690770852988511</v>
      </c>
    </row>
    <row r="99" spans="1:8" x14ac:dyDescent="0.2">
      <c r="A99" s="49" t="s">
        <v>87</v>
      </c>
      <c r="B99" s="49" t="s">
        <v>271</v>
      </c>
      <c r="C99" s="49" t="s">
        <v>270</v>
      </c>
      <c r="D99" s="52">
        <v>26714</v>
      </c>
      <c r="E99" s="52">
        <v>27515</v>
      </c>
      <c r="F99" s="66">
        <f t="shared" ref="F99:F130" si="5">E99/D99</f>
        <v>1.0299842779067157</v>
      </c>
      <c r="G99" s="52">
        <v>29608</v>
      </c>
      <c r="H99" s="61">
        <f t="shared" si="4"/>
        <v>1.1083327094407427</v>
      </c>
    </row>
    <row r="100" spans="1:8" x14ac:dyDescent="0.2">
      <c r="A100" s="45" t="s">
        <v>86</v>
      </c>
      <c r="B100" s="45" t="s">
        <v>269</v>
      </c>
      <c r="C100" s="45" t="s">
        <v>268</v>
      </c>
      <c r="D100" s="44">
        <v>21110</v>
      </c>
      <c r="E100" s="44">
        <v>22275</v>
      </c>
      <c r="F100" s="67">
        <f t="shared" si="5"/>
        <v>1.0551871151113217</v>
      </c>
      <c r="G100" s="44">
        <v>21040</v>
      </c>
      <c r="H100" s="62">
        <f t="shared" si="4"/>
        <v>0.99668403600189481</v>
      </c>
    </row>
    <row r="101" spans="1:8" x14ac:dyDescent="0.2">
      <c r="A101" s="45" t="s">
        <v>86</v>
      </c>
      <c r="B101" s="45" t="s">
        <v>267</v>
      </c>
      <c r="C101" s="45" t="s">
        <v>266</v>
      </c>
      <c r="D101" s="44">
        <v>30968</v>
      </c>
      <c r="E101" s="44">
        <v>29187</v>
      </c>
      <c r="F101" s="67">
        <f t="shared" si="5"/>
        <v>0.94248902092482567</v>
      </c>
      <c r="G101" s="44">
        <v>31880</v>
      </c>
      <c r="H101" s="62">
        <f t="shared" si="4"/>
        <v>1.0294497545853785</v>
      </c>
    </row>
    <row r="102" spans="1:8" x14ac:dyDescent="0.2">
      <c r="A102" s="45" t="s">
        <v>86</v>
      </c>
      <c r="B102" s="45" t="s">
        <v>265</v>
      </c>
      <c r="C102" s="45" t="s">
        <v>264</v>
      </c>
      <c r="D102" s="44">
        <v>23098</v>
      </c>
      <c r="E102" s="44">
        <v>23185</v>
      </c>
      <c r="F102" s="67">
        <f t="shared" si="5"/>
        <v>1.0037665598753138</v>
      </c>
      <c r="G102" s="44">
        <v>26110</v>
      </c>
      <c r="H102" s="62">
        <f t="shared" si="4"/>
        <v>1.1304009005108668</v>
      </c>
    </row>
    <row r="103" spans="1:8" x14ac:dyDescent="0.2">
      <c r="A103" s="45" t="s">
        <v>86</v>
      </c>
      <c r="B103" s="45" t="s">
        <v>263</v>
      </c>
      <c r="C103" s="45" t="s">
        <v>262</v>
      </c>
      <c r="D103" s="44">
        <v>31956</v>
      </c>
      <c r="E103" s="44">
        <v>32695</v>
      </c>
      <c r="F103" s="67">
        <f t="shared" si="5"/>
        <v>1.0231255476279886</v>
      </c>
      <c r="G103" s="44">
        <v>31890</v>
      </c>
      <c r="H103" s="62">
        <f t="shared" si="4"/>
        <v>0.99793466015771681</v>
      </c>
    </row>
    <row r="104" spans="1:8" x14ac:dyDescent="0.2">
      <c r="A104" s="45" t="s">
        <v>86</v>
      </c>
      <c r="B104" s="45" t="s">
        <v>261</v>
      </c>
      <c r="C104" s="45" t="s">
        <v>260</v>
      </c>
      <c r="D104" s="44">
        <v>32425</v>
      </c>
      <c r="E104" s="44">
        <v>32520</v>
      </c>
      <c r="F104" s="67">
        <f t="shared" si="5"/>
        <v>1.002929838087895</v>
      </c>
      <c r="G104" s="44">
        <v>36477</v>
      </c>
      <c r="H104" s="62">
        <f t="shared" si="4"/>
        <v>1.1249653045489592</v>
      </c>
    </row>
    <row r="105" spans="1:8" x14ac:dyDescent="0.2">
      <c r="A105" s="45" t="s">
        <v>86</v>
      </c>
      <c r="B105" s="45" t="s">
        <v>259</v>
      </c>
      <c r="C105" s="45" t="s">
        <v>258</v>
      </c>
      <c r="D105" s="44">
        <v>25105</v>
      </c>
      <c r="E105" s="44">
        <v>26828</v>
      </c>
      <c r="F105" s="67">
        <f t="shared" si="5"/>
        <v>1.0686317466640112</v>
      </c>
      <c r="G105" s="44">
        <v>29492</v>
      </c>
      <c r="H105" s="62">
        <f t="shared" si="4"/>
        <v>1.1747460665206135</v>
      </c>
    </row>
    <row r="106" spans="1:8" x14ac:dyDescent="0.2">
      <c r="A106" s="49" t="s">
        <v>87</v>
      </c>
      <c r="B106" s="49" t="s">
        <v>257</v>
      </c>
      <c r="C106" s="49" t="s">
        <v>256</v>
      </c>
      <c r="D106" s="52">
        <v>32905</v>
      </c>
      <c r="E106" s="52">
        <v>34597</v>
      </c>
      <c r="F106" s="66">
        <f t="shared" si="5"/>
        <v>1.0514207567239022</v>
      </c>
      <c r="G106" s="52">
        <v>37009</v>
      </c>
      <c r="H106" s="61">
        <f t="shared" si="4"/>
        <v>1.1247226865218052</v>
      </c>
    </row>
    <row r="107" spans="1:8" x14ac:dyDescent="0.2">
      <c r="A107" s="45" t="s">
        <v>86</v>
      </c>
      <c r="B107" s="45" t="s">
        <v>255</v>
      </c>
      <c r="C107" s="45" t="s">
        <v>254</v>
      </c>
      <c r="D107" s="44">
        <v>37257</v>
      </c>
      <c r="E107" s="44">
        <v>36469</v>
      </c>
      <c r="F107" s="67">
        <f t="shared" si="5"/>
        <v>0.97884961215342081</v>
      </c>
      <c r="G107" s="44">
        <v>36747</v>
      </c>
      <c r="H107" s="62">
        <f t="shared" si="4"/>
        <v>0.98631129720589417</v>
      </c>
    </row>
    <row r="108" spans="1:8" x14ac:dyDescent="0.2">
      <c r="A108" s="45" t="s">
        <v>86</v>
      </c>
      <c r="B108" s="45" t="s">
        <v>253</v>
      </c>
      <c r="C108" s="45" t="s">
        <v>252</v>
      </c>
      <c r="D108" s="44">
        <v>31848</v>
      </c>
      <c r="E108" s="44">
        <v>34065</v>
      </c>
      <c r="F108" s="67">
        <f t="shared" si="5"/>
        <v>1.0696119065561416</v>
      </c>
      <c r="G108" s="44">
        <v>37095</v>
      </c>
      <c r="H108" s="62">
        <f t="shared" si="4"/>
        <v>1.1647513187641296</v>
      </c>
    </row>
    <row r="109" spans="1:8" x14ac:dyDescent="0.2">
      <c r="A109" s="49" t="s">
        <v>87</v>
      </c>
      <c r="B109" s="49" t="s">
        <v>251</v>
      </c>
      <c r="C109" s="49" t="s">
        <v>250</v>
      </c>
      <c r="D109" s="52">
        <v>24171</v>
      </c>
      <c r="E109" s="52">
        <v>25954</v>
      </c>
      <c r="F109" s="66">
        <f t="shared" si="5"/>
        <v>1.0737660833229903</v>
      </c>
      <c r="G109" s="52">
        <v>27042</v>
      </c>
      <c r="H109" s="61">
        <f t="shared" si="4"/>
        <v>1.118778701750031</v>
      </c>
    </row>
    <row r="110" spans="1:8" x14ac:dyDescent="0.2">
      <c r="A110" s="45" t="s">
        <v>86</v>
      </c>
      <c r="B110" s="45" t="s">
        <v>249</v>
      </c>
      <c r="C110" s="45" t="s">
        <v>248</v>
      </c>
      <c r="D110" s="44">
        <v>25277</v>
      </c>
      <c r="E110" s="44">
        <v>28718</v>
      </c>
      <c r="F110" s="67">
        <f t="shared" si="5"/>
        <v>1.1361316611939709</v>
      </c>
      <c r="G110" s="44">
        <v>31780</v>
      </c>
      <c r="H110" s="62">
        <f t="shared" si="4"/>
        <v>1.2572694544447522</v>
      </c>
    </row>
    <row r="111" spans="1:8" x14ac:dyDescent="0.2">
      <c r="A111" s="45" t="s">
        <v>86</v>
      </c>
      <c r="B111" s="45" t="s">
        <v>247</v>
      </c>
      <c r="C111" s="45" t="s">
        <v>246</v>
      </c>
      <c r="D111" s="44">
        <v>22368</v>
      </c>
      <c r="E111" s="44">
        <v>23034</v>
      </c>
      <c r="F111" s="67">
        <f t="shared" si="5"/>
        <v>1.029774678111588</v>
      </c>
      <c r="G111" s="44">
        <v>22834</v>
      </c>
      <c r="H111" s="62">
        <f t="shared" si="4"/>
        <v>1.0208333333333333</v>
      </c>
    </row>
    <row r="112" spans="1:8" x14ac:dyDescent="0.2">
      <c r="A112" s="45" t="s">
        <v>86</v>
      </c>
      <c r="B112" s="45" t="s">
        <v>245</v>
      </c>
      <c r="C112" s="45" t="s">
        <v>244</v>
      </c>
      <c r="D112" s="44">
        <v>24542</v>
      </c>
      <c r="E112" s="44">
        <v>25014</v>
      </c>
      <c r="F112" s="67">
        <f t="shared" si="5"/>
        <v>1.0192323364029012</v>
      </c>
      <c r="G112" s="44">
        <v>24596</v>
      </c>
      <c r="H112" s="62">
        <f t="shared" si="4"/>
        <v>1.0022003096732133</v>
      </c>
    </row>
    <row r="113" spans="1:8" x14ac:dyDescent="0.2">
      <c r="A113" s="49" t="s">
        <v>87</v>
      </c>
      <c r="B113" s="49" t="s">
        <v>243</v>
      </c>
      <c r="C113" s="49" t="s">
        <v>242</v>
      </c>
      <c r="D113" s="52">
        <v>26169</v>
      </c>
      <c r="E113" s="52">
        <v>27489</v>
      </c>
      <c r="F113" s="66">
        <f t="shared" si="5"/>
        <v>1.0504413619167718</v>
      </c>
      <c r="G113" s="52">
        <v>30307</v>
      </c>
      <c r="H113" s="61">
        <f t="shared" si="4"/>
        <v>1.1581260269784861</v>
      </c>
    </row>
    <row r="114" spans="1:8" x14ac:dyDescent="0.2">
      <c r="A114" s="45" t="s">
        <v>86</v>
      </c>
      <c r="B114" s="45" t="s">
        <v>241</v>
      </c>
      <c r="C114" s="45" t="s">
        <v>240</v>
      </c>
      <c r="D114" s="44">
        <v>24198</v>
      </c>
      <c r="E114" s="44">
        <v>24791</v>
      </c>
      <c r="F114" s="67">
        <f t="shared" si="5"/>
        <v>1.0245061575336805</v>
      </c>
      <c r="G114" s="44">
        <v>26009</v>
      </c>
      <c r="H114" s="62">
        <f t="shared" si="4"/>
        <v>1.0748408959418134</v>
      </c>
    </row>
    <row r="115" spans="1:8" x14ac:dyDescent="0.2">
      <c r="A115" s="45" t="s">
        <v>86</v>
      </c>
      <c r="B115" s="45" t="s">
        <v>239</v>
      </c>
      <c r="C115" s="45" t="s">
        <v>238</v>
      </c>
      <c r="D115" s="44">
        <v>35569</v>
      </c>
      <c r="E115" s="44">
        <v>32735</v>
      </c>
      <c r="F115" s="67">
        <f t="shared" si="5"/>
        <v>0.92032387753380751</v>
      </c>
      <c r="G115" s="44">
        <v>36004</v>
      </c>
      <c r="H115" s="62">
        <f t="shared" si="4"/>
        <v>1.0122297506255447</v>
      </c>
    </row>
    <row r="116" spans="1:8" x14ac:dyDescent="0.2">
      <c r="A116" s="45" t="s">
        <v>86</v>
      </c>
      <c r="B116" s="45" t="s">
        <v>237</v>
      </c>
      <c r="C116" s="45" t="s">
        <v>236</v>
      </c>
      <c r="D116" s="44">
        <v>17774</v>
      </c>
      <c r="E116" s="44">
        <v>21427</v>
      </c>
      <c r="F116" s="67">
        <f t="shared" si="5"/>
        <v>1.2055249240463599</v>
      </c>
      <c r="G116" s="44">
        <v>26609</v>
      </c>
      <c r="H116" s="62">
        <f t="shared" si="4"/>
        <v>1.4970743783053899</v>
      </c>
    </row>
    <row r="117" spans="1:8" x14ac:dyDescent="0.2">
      <c r="A117" s="45" t="s">
        <v>86</v>
      </c>
      <c r="B117" s="45" t="s">
        <v>235</v>
      </c>
      <c r="C117" s="45" t="s">
        <v>234</v>
      </c>
      <c r="D117" s="44">
        <v>34701</v>
      </c>
      <c r="E117" s="44">
        <v>34951</v>
      </c>
      <c r="F117" s="67">
        <f t="shared" si="5"/>
        <v>1.0072044033313161</v>
      </c>
      <c r="G117" s="44">
        <v>35627</v>
      </c>
      <c r="H117" s="62">
        <f t="shared" si="4"/>
        <v>1.0266851099391949</v>
      </c>
    </row>
    <row r="118" spans="1:8" x14ac:dyDescent="0.2">
      <c r="A118" s="51" t="s">
        <v>88</v>
      </c>
      <c r="B118" s="51" t="s">
        <v>233</v>
      </c>
      <c r="C118" s="51" t="s">
        <v>232</v>
      </c>
      <c r="D118" s="57">
        <v>48760</v>
      </c>
      <c r="E118" s="57">
        <v>56036</v>
      </c>
      <c r="F118" s="65">
        <f t="shared" si="5"/>
        <v>1.1492206726825267</v>
      </c>
      <c r="G118" s="57">
        <v>60193</v>
      </c>
      <c r="H118" s="60">
        <f t="shared" si="4"/>
        <v>1.2344749794913863</v>
      </c>
    </row>
    <row r="119" spans="1:8" x14ac:dyDescent="0.2">
      <c r="A119" s="49" t="s">
        <v>87</v>
      </c>
      <c r="B119" s="49" t="s">
        <v>231</v>
      </c>
      <c r="C119" s="49" t="s">
        <v>230</v>
      </c>
      <c r="D119" s="52">
        <v>140268</v>
      </c>
      <c r="E119" s="52">
        <v>174698</v>
      </c>
      <c r="F119" s="66">
        <f t="shared" si="5"/>
        <v>1.2454586933584282</v>
      </c>
      <c r="G119" s="52">
        <v>229742</v>
      </c>
      <c r="H119" s="61">
        <f t="shared" si="4"/>
        <v>1.6378789175007842</v>
      </c>
    </row>
    <row r="120" spans="1:8" x14ac:dyDescent="0.2">
      <c r="A120" s="45" t="s">
        <v>86</v>
      </c>
      <c r="B120" s="45" t="s">
        <v>229</v>
      </c>
      <c r="C120" s="45" t="s">
        <v>228</v>
      </c>
      <c r="D120" s="44">
        <v>45258</v>
      </c>
      <c r="E120" s="44">
        <v>56638</v>
      </c>
      <c r="F120" s="67">
        <f t="shared" si="5"/>
        <v>1.2514472579433471</v>
      </c>
      <c r="G120" s="44">
        <v>69578</v>
      </c>
      <c r="H120" s="62">
        <f t="shared" si="4"/>
        <v>1.5373635600335853</v>
      </c>
    </row>
    <row r="121" spans="1:8" x14ac:dyDescent="0.2">
      <c r="A121" s="45" t="s">
        <v>86</v>
      </c>
      <c r="B121" s="45" t="s">
        <v>227</v>
      </c>
      <c r="C121" s="45" t="s">
        <v>226</v>
      </c>
      <c r="D121" s="44">
        <v>27197</v>
      </c>
      <c r="E121" s="44">
        <v>28201</v>
      </c>
      <c r="F121" s="67">
        <f t="shared" si="5"/>
        <v>1.0369158363054749</v>
      </c>
      <c r="G121" s="44">
        <v>26727</v>
      </c>
      <c r="H121" s="62">
        <f t="shared" si="4"/>
        <v>0.98271868220759639</v>
      </c>
    </row>
    <row r="122" spans="1:8" x14ac:dyDescent="0.2">
      <c r="A122" s="45" t="s">
        <v>86</v>
      </c>
      <c r="B122" s="45" t="s">
        <v>225</v>
      </c>
      <c r="C122" s="45" t="s">
        <v>224</v>
      </c>
      <c r="D122" s="44">
        <v>483184</v>
      </c>
      <c r="E122" s="44">
        <v>602596</v>
      </c>
      <c r="F122" s="67">
        <f t="shared" si="5"/>
        <v>1.2471356667439319</v>
      </c>
      <c r="G122" s="44">
        <v>847006</v>
      </c>
      <c r="H122" s="62">
        <f t="shared" si="4"/>
        <v>1.7529678135037583</v>
      </c>
    </row>
    <row r="123" spans="1:8" x14ac:dyDescent="0.2">
      <c r="A123" s="45" t="s">
        <v>86</v>
      </c>
      <c r="B123" s="45" t="s">
        <v>223</v>
      </c>
      <c r="C123" s="45" t="s">
        <v>222</v>
      </c>
      <c r="D123" s="44">
        <v>103946</v>
      </c>
      <c r="E123" s="44">
        <v>121124</v>
      </c>
      <c r="F123" s="67">
        <f t="shared" si="5"/>
        <v>1.165258884420757</v>
      </c>
      <c r="G123" s="44">
        <v>167715</v>
      </c>
      <c r="H123" s="62">
        <f t="shared" si="4"/>
        <v>1.6134820002693706</v>
      </c>
    </row>
    <row r="124" spans="1:8" x14ac:dyDescent="0.2">
      <c r="A124" s="49" t="s">
        <v>87</v>
      </c>
      <c r="B124" s="49" t="s">
        <v>221</v>
      </c>
      <c r="C124" s="49" t="s">
        <v>220</v>
      </c>
      <c r="D124" s="52">
        <v>43114</v>
      </c>
      <c r="E124" s="52">
        <v>53536</v>
      </c>
      <c r="F124" s="66">
        <f t="shared" si="5"/>
        <v>1.2417312241963168</v>
      </c>
      <c r="G124" s="52">
        <v>54574</v>
      </c>
      <c r="H124" s="61">
        <f t="shared" si="4"/>
        <v>1.2658069304634225</v>
      </c>
    </row>
    <row r="125" spans="1:8" x14ac:dyDescent="0.2">
      <c r="A125" s="45" t="s">
        <v>86</v>
      </c>
      <c r="B125" s="45" t="s">
        <v>219</v>
      </c>
      <c r="C125" s="45" t="s">
        <v>218</v>
      </c>
      <c r="D125" s="44">
        <v>24288</v>
      </c>
      <c r="E125" s="44">
        <v>24862</v>
      </c>
      <c r="F125" s="67">
        <f t="shared" si="5"/>
        <v>1.0236330698287219</v>
      </c>
      <c r="G125" s="44">
        <v>32352</v>
      </c>
      <c r="H125" s="62">
        <f t="shared" si="4"/>
        <v>1.3320158102766799</v>
      </c>
    </row>
    <row r="126" spans="1:8" x14ac:dyDescent="0.2">
      <c r="A126" s="45" t="s">
        <v>86</v>
      </c>
      <c r="B126" s="45" t="s">
        <v>217</v>
      </c>
      <c r="C126" s="45" t="s">
        <v>216</v>
      </c>
      <c r="D126" s="44">
        <v>137865</v>
      </c>
      <c r="E126" s="44">
        <v>163118</v>
      </c>
      <c r="F126" s="67">
        <f t="shared" si="5"/>
        <v>1.1831719435679833</v>
      </c>
      <c r="G126" s="44">
        <v>125474</v>
      </c>
      <c r="H126" s="62">
        <f t="shared" si="4"/>
        <v>0.91012222101331008</v>
      </c>
    </row>
    <row r="127" spans="1:8" x14ac:dyDescent="0.2">
      <c r="A127" s="45" t="s">
        <v>86</v>
      </c>
      <c r="B127" s="45" t="s">
        <v>215</v>
      </c>
      <c r="C127" s="45" t="s">
        <v>214</v>
      </c>
      <c r="D127" s="44">
        <v>35760</v>
      </c>
      <c r="E127" s="44">
        <v>46538</v>
      </c>
      <c r="F127" s="67">
        <f t="shared" si="5"/>
        <v>1.3013982102908277</v>
      </c>
      <c r="G127" s="44">
        <v>56243</v>
      </c>
      <c r="H127" s="62">
        <f t="shared" si="4"/>
        <v>1.5727908277404921</v>
      </c>
    </row>
    <row r="128" spans="1:8" x14ac:dyDescent="0.2">
      <c r="A128" s="45" t="s">
        <v>86</v>
      </c>
      <c r="B128" s="45" t="s">
        <v>213</v>
      </c>
      <c r="C128" s="45" t="s">
        <v>212</v>
      </c>
      <c r="D128" s="44">
        <v>35487</v>
      </c>
      <c r="E128" s="44">
        <v>43151</v>
      </c>
      <c r="F128" s="67">
        <f t="shared" si="5"/>
        <v>1.2159664102347338</v>
      </c>
      <c r="G128" s="44">
        <v>44575</v>
      </c>
      <c r="H128" s="62">
        <f t="shared" si="4"/>
        <v>1.2560937808211459</v>
      </c>
    </row>
    <row r="129" spans="1:8" x14ac:dyDescent="0.2">
      <c r="A129" s="45" t="s">
        <v>86</v>
      </c>
      <c r="B129" s="45" t="s">
        <v>211</v>
      </c>
      <c r="C129" s="45" t="s">
        <v>210</v>
      </c>
      <c r="D129" s="44">
        <v>38321</v>
      </c>
      <c r="E129" s="44">
        <v>47988</v>
      </c>
      <c r="F129" s="67">
        <f t="shared" si="5"/>
        <v>1.2522637718222385</v>
      </c>
      <c r="G129" s="44">
        <v>44722</v>
      </c>
      <c r="H129" s="62">
        <f t="shared" si="4"/>
        <v>1.1670363508259178</v>
      </c>
    </row>
    <row r="130" spans="1:8" x14ac:dyDescent="0.2">
      <c r="A130" s="49" t="s">
        <v>87</v>
      </c>
      <c r="B130" s="49" t="s">
        <v>209</v>
      </c>
      <c r="C130" s="49" t="s">
        <v>208</v>
      </c>
      <c r="D130" s="52">
        <v>24608</v>
      </c>
      <c r="E130" s="52">
        <v>24484</v>
      </c>
      <c r="F130" s="66">
        <f t="shared" si="5"/>
        <v>0.99496098829648894</v>
      </c>
      <c r="G130" s="52">
        <v>23928</v>
      </c>
      <c r="H130" s="61">
        <f t="shared" si="4"/>
        <v>0.9723667100130039</v>
      </c>
    </row>
    <row r="131" spans="1:8" x14ac:dyDescent="0.2">
      <c r="A131" s="45" t="s">
        <v>86</v>
      </c>
      <c r="B131" s="45" t="s">
        <v>207</v>
      </c>
      <c r="C131" s="45" t="s">
        <v>206</v>
      </c>
      <c r="D131" s="44">
        <v>26950</v>
      </c>
      <c r="E131" s="44">
        <v>26609</v>
      </c>
      <c r="F131" s="67">
        <f t="shared" ref="F131:F162" si="6">E131/D131</f>
        <v>0.98734693877551016</v>
      </c>
      <c r="G131" s="44">
        <v>25739</v>
      </c>
      <c r="H131" s="62">
        <f t="shared" si="4"/>
        <v>0.95506493506493506</v>
      </c>
    </row>
    <row r="132" spans="1:8" x14ac:dyDescent="0.2">
      <c r="A132" s="45" t="s">
        <v>86</v>
      </c>
      <c r="B132" s="45" t="s">
        <v>205</v>
      </c>
      <c r="C132" s="45" t="s">
        <v>204</v>
      </c>
      <c r="D132" s="44">
        <v>27163</v>
      </c>
      <c r="E132" s="44">
        <v>26459</v>
      </c>
      <c r="F132" s="67">
        <f t="shared" si="6"/>
        <v>0.97408239148842179</v>
      </c>
      <c r="G132" s="44">
        <v>24452</v>
      </c>
      <c r="H132" s="62">
        <f t="shared" ref="H132:H190" si="7">G132/D132</f>
        <v>0.90019511835953314</v>
      </c>
    </row>
    <row r="133" spans="1:8" x14ac:dyDescent="0.2">
      <c r="A133" s="45" t="s">
        <v>86</v>
      </c>
      <c r="B133" s="45" t="s">
        <v>203</v>
      </c>
      <c r="C133" s="45" t="s">
        <v>202</v>
      </c>
      <c r="D133" s="44">
        <v>20333</v>
      </c>
      <c r="E133" s="44">
        <v>19604</v>
      </c>
      <c r="F133" s="67">
        <f t="shared" si="6"/>
        <v>0.96414695322874144</v>
      </c>
      <c r="G133" s="44">
        <v>19376</v>
      </c>
      <c r="H133" s="62">
        <f t="shared" si="7"/>
        <v>0.95293365465007618</v>
      </c>
    </row>
    <row r="134" spans="1:8" x14ac:dyDescent="0.2">
      <c r="A134" s="45" t="s">
        <v>86</v>
      </c>
      <c r="B134" s="45" t="s">
        <v>201</v>
      </c>
      <c r="C134" s="45" t="s">
        <v>200</v>
      </c>
      <c r="D134" s="44">
        <v>28788</v>
      </c>
      <c r="E134" s="44">
        <v>27637</v>
      </c>
      <c r="F134" s="67">
        <f t="shared" si="6"/>
        <v>0.96001806308183968</v>
      </c>
      <c r="G134" s="44">
        <v>28611</v>
      </c>
      <c r="H134" s="62">
        <f t="shared" si="7"/>
        <v>0.99385160483534807</v>
      </c>
    </row>
    <row r="135" spans="1:8" x14ac:dyDescent="0.2">
      <c r="A135" s="49" t="s">
        <v>87</v>
      </c>
      <c r="B135" s="49" t="s">
        <v>199</v>
      </c>
      <c r="C135" s="49" t="s">
        <v>198</v>
      </c>
      <c r="D135" s="52">
        <v>30269</v>
      </c>
      <c r="E135" s="52">
        <v>30800</v>
      </c>
      <c r="F135" s="66">
        <f t="shared" si="6"/>
        <v>1.0175427004526083</v>
      </c>
      <c r="G135" s="52">
        <v>28795</v>
      </c>
      <c r="H135" s="61">
        <f t="shared" si="7"/>
        <v>0.95130331362119658</v>
      </c>
    </row>
    <row r="136" spans="1:8" x14ac:dyDescent="0.2">
      <c r="A136" s="45" t="s">
        <v>86</v>
      </c>
      <c r="B136" s="45" t="s">
        <v>197</v>
      </c>
      <c r="C136" s="45" t="s">
        <v>196</v>
      </c>
      <c r="D136" s="44">
        <v>31847</v>
      </c>
      <c r="E136" s="44">
        <v>31761</v>
      </c>
      <c r="F136" s="67">
        <f t="shared" si="6"/>
        <v>0.9972995886582724</v>
      </c>
      <c r="G136" s="44">
        <v>26668</v>
      </c>
      <c r="H136" s="62">
        <f t="shared" si="7"/>
        <v>0.83737871699061139</v>
      </c>
    </row>
    <row r="137" spans="1:8" x14ac:dyDescent="0.2">
      <c r="A137" s="45" t="s">
        <v>86</v>
      </c>
      <c r="B137" s="45" t="s">
        <v>195</v>
      </c>
      <c r="C137" s="45" t="s">
        <v>194</v>
      </c>
      <c r="D137" s="44">
        <v>30179</v>
      </c>
      <c r="E137" s="44">
        <v>28997</v>
      </c>
      <c r="F137" s="67">
        <f t="shared" si="6"/>
        <v>0.96083369230259452</v>
      </c>
      <c r="G137" s="44">
        <v>30698</v>
      </c>
      <c r="H137" s="62">
        <f t="shared" si="7"/>
        <v>1.0171973889128201</v>
      </c>
    </row>
    <row r="138" spans="1:8" x14ac:dyDescent="0.2">
      <c r="A138" s="45" t="s">
        <v>86</v>
      </c>
      <c r="B138" s="45" t="s">
        <v>193</v>
      </c>
      <c r="C138" s="45" t="s">
        <v>192</v>
      </c>
      <c r="D138" s="44">
        <v>31448</v>
      </c>
      <c r="E138" s="44">
        <v>31868</v>
      </c>
      <c r="F138" s="67">
        <f t="shared" si="6"/>
        <v>1.0133553803103537</v>
      </c>
      <c r="G138" s="44">
        <v>28863</v>
      </c>
      <c r="H138" s="62">
        <f t="shared" si="7"/>
        <v>0.91780081404222846</v>
      </c>
    </row>
    <row r="139" spans="1:8" x14ac:dyDescent="0.2">
      <c r="A139" s="49" t="s">
        <v>87</v>
      </c>
      <c r="B139" s="49" t="s">
        <v>191</v>
      </c>
      <c r="C139" s="49" t="s">
        <v>190</v>
      </c>
      <c r="D139" s="52">
        <v>34206</v>
      </c>
      <c r="E139" s="52">
        <v>36253</v>
      </c>
      <c r="F139" s="66">
        <f t="shared" si="6"/>
        <v>1.0598433023446179</v>
      </c>
      <c r="G139" s="52">
        <v>32725</v>
      </c>
      <c r="H139" s="61">
        <f t="shared" si="7"/>
        <v>0.95670350230953638</v>
      </c>
    </row>
    <row r="140" spans="1:8" x14ac:dyDescent="0.2">
      <c r="A140" s="45" t="s">
        <v>86</v>
      </c>
      <c r="B140" s="45" t="s">
        <v>189</v>
      </c>
      <c r="C140" s="45" t="s">
        <v>188</v>
      </c>
      <c r="D140" s="44">
        <v>28273</v>
      </c>
      <c r="E140" s="44">
        <v>27374</v>
      </c>
      <c r="F140" s="67">
        <f t="shared" si="6"/>
        <v>0.96820287907190605</v>
      </c>
      <c r="G140" s="44">
        <v>28057</v>
      </c>
      <c r="H140" s="62">
        <f t="shared" si="7"/>
        <v>0.99236020231316102</v>
      </c>
    </row>
    <row r="141" spans="1:8" x14ac:dyDescent="0.2">
      <c r="A141" s="45" t="s">
        <v>86</v>
      </c>
      <c r="B141" s="45" t="s">
        <v>187</v>
      </c>
      <c r="C141" s="45" t="s">
        <v>186</v>
      </c>
      <c r="D141" s="44">
        <v>31579</v>
      </c>
      <c r="E141" s="44">
        <v>29318</v>
      </c>
      <c r="F141" s="67">
        <f t="shared" si="6"/>
        <v>0.92840178599702339</v>
      </c>
      <c r="G141" s="44">
        <v>29876</v>
      </c>
      <c r="H141" s="62">
        <f t="shared" si="7"/>
        <v>0.94607175654707243</v>
      </c>
    </row>
    <row r="142" spans="1:8" x14ac:dyDescent="0.2">
      <c r="A142" s="45" t="s">
        <v>86</v>
      </c>
      <c r="B142" s="45" t="s">
        <v>185</v>
      </c>
      <c r="C142" s="45" t="s">
        <v>184</v>
      </c>
      <c r="D142" s="44">
        <v>31071</v>
      </c>
      <c r="E142" s="44">
        <v>29891</v>
      </c>
      <c r="F142" s="67">
        <f t="shared" si="6"/>
        <v>0.96202246467767372</v>
      </c>
      <c r="G142" s="44">
        <v>29073</v>
      </c>
      <c r="H142" s="62">
        <f t="shared" si="7"/>
        <v>0.93569566476778987</v>
      </c>
    </row>
    <row r="143" spans="1:8" x14ac:dyDescent="0.2">
      <c r="A143" s="45" t="s">
        <v>86</v>
      </c>
      <c r="B143" s="45" t="s">
        <v>183</v>
      </c>
      <c r="C143" s="45" t="s">
        <v>182</v>
      </c>
      <c r="D143" s="44">
        <v>38834</v>
      </c>
      <c r="E143" s="44">
        <v>41653</v>
      </c>
      <c r="F143" s="67">
        <f t="shared" si="6"/>
        <v>1.0725910284801978</v>
      </c>
      <c r="G143" s="44">
        <v>31887</v>
      </c>
      <c r="H143" s="62">
        <f t="shared" si="7"/>
        <v>0.82111036720399655</v>
      </c>
    </row>
    <row r="144" spans="1:8" x14ac:dyDescent="0.2">
      <c r="A144" s="45" t="s">
        <v>86</v>
      </c>
      <c r="B144" s="45" t="s">
        <v>181</v>
      </c>
      <c r="C144" s="45" t="s">
        <v>180</v>
      </c>
      <c r="D144" s="44">
        <v>43467</v>
      </c>
      <c r="E144" s="44">
        <v>48112</v>
      </c>
      <c r="F144" s="67">
        <f t="shared" si="6"/>
        <v>1.1068626774334553</v>
      </c>
      <c r="G144" s="44">
        <v>42662</v>
      </c>
      <c r="H144" s="62">
        <f t="shared" si="7"/>
        <v>0.9814802033726735</v>
      </c>
    </row>
    <row r="145" spans="1:8" x14ac:dyDescent="0.2">
      <c r="A145" s="51" t="s">
        <v>88</v>
      </c>
      <c r="B145" s="51" t="s">
        <v>179</v>
      </c>
      <c r="C145" s="51" t="s">
        <v>178</v>
      </c>
      <c r="D145" s="57">
        <v>31311</v>
      </c>
      <c r="E145" s="57">
        <v>34936</v>
      </c>
      <c r="F145" s="65">
        <f t="shared" si="6"/>
        <v>1.1157740091341701</v>
      </c>
      <c r="G145" s="57">
        <v>38076</v>
      </c>
      <c r="H145" s="60">
        <f t="shared" si="7"/>
        <v>1.2160582542876306</v>
      </c>
    </row>
    <row r="146" spans="1:8" x14ac:dyDescent="0.2">
      <c r="A146" s="49" t="s">
        <v>87</v>
      </c>
      <c r="B146" s="49" t="s">
        <v>177</v>
      </c>
      <c r="C146" s="49" t="s">
        <v>176</v>
      </c>
      <c r="D146" s="52">
        <v>34883</v>
      </c>
      <c r="E146" s="52">
        <v>41392</v>
      </c>
      <c r="F146" s="66">
        <f t="shared" si="6"/>
        <v>1.1865951896339191</v>
      </c>
      <c r="G146" s="52">
        <v>47194</v>
      </c>
      <c r="H146" s="61">
        <f t="shared" si="7"/>
        <v>1.352922627067626</v>
      </c>
    </row>
    <row r="147" spans="1:8" x14ac:dyDescent="0.2">
      <c r="A147" s="45" t="s">
        <v>86</v>
      </c>
      <c r="B147" s="45" t="s">
        <v>175</v>
      </c>
      <c r="C147" s="45" t="s">
        <v>174</v>
      </c>
      <c r="D147" s="44">
        <v>51619</v>
      </c>
      <c r="E147" s="44">
        <v>51408</v>
      </c>
      <c r="F147" s="67">
        <f t="shared" si="6"/>
        <v>0.99591235785272869</v>
      </c>
      <c r="G147" s="44">
        <v>55672</v>
      </c>
      <c r="H147" s="62">
        <f t="shared" si="7"/>
        <v>1.0785176001084873</v>
      </c>
    </row>
    <row r="148" spans="1:8" x14ac:dyDescent="0.2">
      <c r="A148" s="45" t="s">
        <v>86</v>
      </c>
      <c r="B148" s="45" t="s">
        <v>173</v>
      </c>
      <c r="C148" s="45" t="s">
        <v>172</v>
      </c>
      <c r="D148" s="44">
        <v>34494</v>
      </c>
      <c r="E148" s="44">
        <v>36366</v>
      </c>
      <c r="F148" s="67">
        <f t="shared" si="6"/>
        <v>1.0542703078796312</v>
      </c>
      <c r="G148" s="44">
        <v>35686</v>
      </c>
      <c r="H148" s="62">
        <f t="shared" si="7"/>
        <v>1.0345567345045514</v>
      </c>
    </row>
    <row r="149" spans="1:8" x14ac:dyDescent="0.2">
      <c r="A149" s="45" t="s">
        <v>86</v>
      </c>
      <c r="B149" s="45" t="s">
        <v>171</v>
      </c>
      <c r="C149" s="45" t="s">
        <v>170</v>
      </c>
      <c r="D149" s="44">
        <v>36812</v>
      </c>
      <c r="E149" s="44">
        <v>38578</v>
      </c>
      <c r="F149" s="67">
        <f t="shared" si="6"/>
        <v>1.0479734869064437</v>
      </c>
      <c r="G149" s="44">
        <v>39864</v>
      </c>
      <c r="H149" s="62">
        <f t="shared" si="7"/>
        <v>1.0829077474736499</v>
      </c>
    </row>
    <row r="150" spans="1:8" x14ac:dyDescent="0.2">
      <c r="A150" s="45" t="s">
        <v>86</v>
      </c>
      <c r="B150" s="45" t="s">
        <v>169</v>
      </c>
      <c r="C150" s="45" t="s">
        <v>168</v>
      </c>
      <c r="D150" s="44">
        <v>39443</v>
      </c>
      <c r="E150" s="44">
        <v>50873</v>
      </c>
      <c r="F150" s="67">
        <f t="shared" si="6"/>
        <v>1.2897852597419059</v>
      </c>
      <c r="G150" s="44">
        <v>57146</v>
      </c>
      <c r="H150" s="62">
        <f t="shared" si="7"/>
        <v>1.4488248865451412</v>
      </c>
    </row>
    <row r="151" spans="1:8" x14ac:dyDescent="0.2">
      <c r="A151" s="45" t="s">
        <v>86</v>
      </c>
      <c r="B151" s="45" t="s">
        <v>167</v>
      </c>
      <c r="C151" s="45" t="s">
        <v>166</v>
      </c>
      <c r="D151" s="44">
        <v>27906</v>
      </c>
      <c r="E151" s="44">
        <v>38563</v>
      </c>
      <c r="F151" s="67">
        <f t="shared" si="6"/>
        <v>1.3818891994553142</v>
      </c>
      <c r="G151" s="44">
        <v>56977</v>
      </c>
      <c r="H151" s="62">
        <f t="shared" si="7"/>
        <v>2.0417472944886406</v>
      </c>
    </row>
    <row r="152" spans="1:8" x14ac:dyDescent="0.2">
      <c r="A152" s="49" t="s">
        <v>87</v>
      </c>
      <c r="B152" s="49" t="s">
        <v>165</v>
      </c>
      <c r="C152" s="49" t="s">
        <v>164</v>
      </c>
      <c r="D152" s="52">
        <v>32759</v>
      </c>
      <c r="E152" s="52">
        <v>34570</v>
      </c>
      <c r="F152" s="66">
        <f t="shared" si="6"/>
        <v>1.0552825177813732</v>
      </c>
      <c r="G152" s="52">
        <v>35879</v>
      </c>
      <c r="H152" s="61">
        <f t="shared" si="7"/>
        <v>1.0952410024726029</v>
      </c>
    </row>
    <row r="153" spans="1:8" x14ac:dyDescent="0.2">
      <c r="A153" s="45" t="s">
        <v>86</v>
      </c>
      <c r="B153" s="45" t="s">
        <v>163</v>
      </c>
      <c r="C153" s="45" t="s">
        <v>162</v>
      </c>
      <c r="D153" s="44">
        <v>29640</v>
      </c>
      <c r="E153" s="44">
        <v>30031</v>
      </c>
      <c r="F153" s="67">
        <f t="shared" si="6"/>
        <v>1.0131916329284751</v>
      </c>
      <c r="G153" s="44">
        <v>40435</v>
      </c>
      <c r="H153" s="62">
        <f t="shared" si="7"/>
        <v>1.3642037786774628</v>
      </c>
    </row>
    <row r="154" spans="1:8" x14ac:dyDescent="0.2">
      <c r="A154" s="45" t="s">
        <v>86</v>
      </c>
      <c r="B154" s="45" t="s">
        <v>161</v>
      </c>
      <c r="C154" s="45" t="s">
        <v>160</v>
      </c>
      <c r="D154" s="44">
        <v>21465</v>
      </c>
      <c r="E154" s="44">
        <v>21416</v>
      </c>
      <c r="F154" s="67">
        <f t="shared" si="6"/>
        <v>0.99771721406941538</v>
      </c>
      <c r="G154" s="44">
        <v>22795</v>
      </c>
      <c r="H154" s="62">
        <f t="shared" si="7"/>
        <v>1.061961332401584</v>
      </c>
    </row>
    <row r="155" spans="1:8" x14ac:dyDescent="0.2">
      <c r="A155" s="45" t="s">
        <v>86</v>
      </c>
      <c r="B155" s="45" t="s">
        <v>159</v>
      </c>
      <c r="C155" s="45" t="s">
        <v>158</v>
      </c>
      <c r="D155" s="44">
        <v>43046</v>
      </c>
      <c r="E155" s="44">
        <v>44535</v>
      </c>
      <c r="F155" s="67">
        <f t="shared" si="6"/>
        <v>1.0345909027551921</v>
      </c>
      <c r="G155" s="44">
        <v>47938</v>
      </c>
      <c r="H155" s="62">
        <f t="shared" si="7"/>
        <v>1.1136458672118199</v>
      </c>
    </row>
    <row r="156" spans="1:8" x14ac:dyDescent="0.2">
      <c r="A156" s="45" t="s">
        <v>86</v>
      </c>
      <c r="B156" s="45" t="s">
        <v>157</v>
      </c>
      <c r="C156" s="45" t="s">
        <v>156</v>
      </c>
      <c r="D156" s="44">
        <v>46871</v>
      </c>
      <c r="E156" s="44">
        <v>49174</v>
      </c>
      <c r="F156" s="67">
        <f t="shared" si="6"/>
        <v>1.0491348595080114</v>
      </c>
      <c r="G156" s="44">
        <v>39846</v>
      </c>
      <c r="H156" s="62">
        <f t="shared" si="7"/>
        <v>0.85012054361972222</v>
      </c>
    </row>
    <row r="157" spans="1:8" x14ac:dyDescent="0.2">
      <c r="A157" s="45" t="s">
        <v>86</v>
      </c>
      <c r="B157" s="45" t="s">
        <v>155</v>
      </c>
      <c r="C157" s="45" t="s">
        <v>154</v>
      </c>
      <c r="D157" s="44">
        <v>26310</v>
      </c>
      <c r="E157" s="44">
        <v>26799</v>
      </c>
      <c r="F157" s="67">
        <f t="shared" si="6"/>
        <v>1.0185860889395668</v>
      </c>
      <c r="G157" s="44">
        <v>29579</v>
      </c>
      <c r="H157" s="62">
        <f t="shared" si="7"/>
        <v>1.1242493348536677</v>
      </c>
    </row>
    <row r="158" spans="1:8" x14ac:dyDescent="0.2">
      <c r="A158" s="45" t="s">
        <v>86</v>
      </c>
      <c r="B158" s="45" t="s">
        <v>153</v>
      </c>
      <c r="C158" s="45" t="s">
        <v>152</v>
      </c>
      <c r="D158" s="44">
        <v>29534</v>
      </c>
      <c r="E158" s="44">
        <v>32323</v>
      </c>
      <c r="F158" s="67">
        <f t="shared" si="6"/>
        <v>1.0944335342317328</v>
      </c>
      <c r="G158" s="44">
        <v>30655</v>
      </c>
      <c r="H158" s="62">
        <f t="shared" si="7"/>
        <v>1.0379562538091691</v>
      </c>
    </row>
    <row r="159" spans="1:8" x14ac:dyDescent="0.2">
      <c r="A159" s="49" t="s">
        <v>87</v>
      </c>
      <c r="B159" s="49" t="s">
        <v>151</v>
      </c>
      <c r="C159" s="49" t="s">
        <v>150</v>
      </c>
      <c r="D159" s="52">
        <v>29634</v>
      </c>
      <c r="E159" s="52">
        <v>34307</v>
      </c>
      <c r="F159" s="66">
        <f t="shared" si="6"/>
        <v>1.1576904906526286</v>
      </c>
      <c r="G159" s="52">
        <v>37260</v>
      </c>
      <c r="H159" s="61">
        <f t="shared" si="7"/>
        <v>1.2573395424174933</v>
      </c>
    </row>
    <row r="160" spans="1:8" x14ac:dyDescent="0.2">
      <c r="A160" s="45" t="s">
        <v>86</v>
      </c>
      <c r="B160" s="45" t="s">
        <v>149</v>
      </c>
      <c r="C160" s="45" t="s">
        <v>148</v>
      </c>
      <c r="D160" s="44">
        <v>28651</v>
      </c>
      <c r="E160" s="44">
        <v>32216</v>
      </c>
      <c r="F160" s="67">
        <f t="shared" si="6"/>
        <v>1.1244284667201843</v>
      </c>
      <c r="G160" s="44">
        <v>37044</v>
      </c>
      <c r="H160" s="62">
        <f t="shared" si="7"/>
        <v>1.2929391644270707</v>
      </c>
    </row>
    <row r="161" spans="1:8" x14ac:dyDescent="0.2">
      <c r="A161" s="45" t="s">
        <v>86</v>
      </c>
      <c r="B161" s="45" t="s">
        <v>147</v>
      </c>
      <c r="C161" s="45" t="s">
        <v>146</v>
      </c>
      <c r="D161" s="44">
        <v>31567</v>
      </c>
      <c r="E161" s="44">
        <v>39259</v>
      </c>
      <c r="F161" s="67">
        <f t="shared" si="6"/>
        <v>1.2436721893116229</v>
      </c>
      <c r="G161" s="44">
        <v>41109</v>
      </c>
      <c r="H161" s="62">
        <f t="shared" si="7"/>
        <v>1.3022776950612982</v>
      </c>
    </row>
    <row r="162" spans="1:8" x14ac:dyDescent="0.2">
      <c r="A162" s="45" t="s">
        <v>86</v>
      </c>
      <c r="B162" s="45" t="s">
        <v>145</v>
      </c>
      <c r="C162" s="45" t="s">
        <v>144</v>
      </c>
      <c r="D162" s="44">
        <v>20509</v>
      </c>
      <c r="E162" s="44">
        <v>22527</v>
      </c>
      <c r="F162" s="67">
        <f t="shared" si="6"/>
        <v>1.0983958262226339</v>
      </c>
      <c r="G162" s="44">
        <v>23866</v>
      </c>
      <c r="H162" s="62">
        <f t="shared" si="7"/>
        <v>1.1636842361889903</v>
      </c>
    </row>
    <row r="163" spans="1:8" x14ac:dyDescent="0.2">
      <c r="A163" s="45" t="s">
        <v>86</v>
      </c>
      <c r="B163" s="45" t="s">
        <v>143</v>
      </c>
      <c r="C163" s="45" t="s">
        <v>142</v>
      </c>
      <c r="D163" s="44">
        <v>26008</v>
      </c>
      <c r="E163" s="44">
        <v>29394</v>
      </c>
      <c r="F163" s="67">
        <f t="shared" ref="F163:F190" si="8">E163/D163</f>
        <v>1.1301907105505997</v>
      </c>
      <c r="G163" s="44">
        <v>29972</v>
      </c>
      <c r="H163" s="62">
        <f t="shared" si="7"/>
        <v>1.1524146416487235</v>
      </c>
    </row>
    <row r="164" spans="1:8" x14ac:dyDescent="0.2">
      <c r="A164" s="45" t="s">
        <v>86</v>
      </c>
      <c r="B164" s="45" t="s">
        <v>141</v>
      </c>
      <c r="C164" s="45" t="s">
        <v>140</v>
      </c>
      <c r="D164" s="44">
        <v>24228</v>
      </c>
      <c r="E164" s="44">
        <v>25943</v>
      </c>
      <c r="F164" s="67">
        <f t="shared" si="8"/>
        <v>1.0707858675912167</v>
      </c>
      <c r="G164" s="44">
        <v>35913</v>
      </c>
      <c r="H164" s="62">
        <f t="shared" si="7"/>
        <v>1.4822932144626053</v>
      </c>
    </row>
    <row r="165" spans="1:8" x14ac:dyDescent="0.2">
      <c r="A165" s="45" t="s">
        <v>86</v>
      </c>
      <c r="B165" s="45" t="s">
        <v>139</v>
      </c>
      <c r="C165" s="45" t="s">
        <v>138</v>
      </c>
      <c r="D165" s="44">
        <v>37209</v>
      </c>
      <c r="E165" s="44">
        <v>44624</v>
      </c>
      <c r="F165" s="67">
        <f t="shared" si="8"/>
        <v>1.1992797441479213</v>
      </c>
      <c r="G165" s="44">
        <v>50614</v>
      </c>
      <c r="H165" s="62">
        <f t="shared" si="7"/>
        <v>1.3602623021312048</v>
      </c>
    </row>
    <row r="166" spans="1:8" x14ac:dyDescent="0.2">
      <c r="A166" s="49" t="s">
        <v>87</v>
      </c>
      <c r="B166" s="49" t="s">
        <v>137</v>
      </c>
      <c r="C166" s="49" t="s">
        <v>136</v>
      </c>
      <c r="D166" s="52">
        <v>26982</v>
      </c>
      <c r="E166" s="52">
        <v>28014</v>
      </c>
      <c r="F166" s="66">
        <f t="shared" si="8"/>
        <v>1.0382477207026908</v>
      </c>
      <c r="G166" s="52">
        <v>30055</v>
      </c>
      <c r="H166" s="61">
        <f t="shared" si="7"/>
        <v>1.1138907419761321</v>
      </c>
    </row>
    <row r="167" spans="1:8" x14ac:dyDescent="0.2">
      <c r="A167" s="45" t="s">
        <v>86</v>
      </c>
      <c r="B167" s="45" t="s">
        <v>135</v>
      </c>
      <c r="C167" s="45" t="s">
        <v>134</v>
      </c>
      <c r="D167" s="44">
        <v>21670</v>
      </c>
      <c r="E167" s="44">
        <v>24134</v>
      </c>
      <c r="F167" s="67">
        <f t="shared" si="8"/>
        <v>1.1137055837563452</v>
      </c>
      <c r="G167" s="44">
        <v>26429</v>
      </c>
      <c r="H167" s="62">
        <f t="shared" si="7"/>
        <v>1.2196123673281034</v>
      </c>
    </row>
    <row r="168" spans="1:8" x14ac:dyDescent="0.2">
      <c r="A168" s="45" t="s">
        <v>86</v>
      </c>
      <c r="B168" s="45" t="s">
        <v>133</v>
      </c>
      <c r="C168" s="45" t="s">
        <v>132</v>
      </c>
      <c r="D168" s="44">
        <v>28231</v>
      </c>
      <c r="E168" s="44">
        <v>27457</v>
      </c>
      <c r="F168" s="67">
        <f t="shared" si="8"/>
        <v>0.97258333038149547</v>
      </c>
      <c r="G168" s="44">
        <v>29847</v>
      </c>
      <c r="H168" s="62">
        <f t="shared" si="7"/>
        <v>1.0572420388934149</v>
      </c>
    </row>
    <row r="169" spans="1:8" x14ac:dyDescent="0.2">
      <c r="A169" s="45" t="s">
        <v>86</v>
      </c>
      <c r="B169" s="45" t="s">
        <v>131</v>
      </c>
      <c r="C169" s="45" t="s">
        <v>130</v>
      </c>
      <c r="D169" s="44">
        <v>24270</v>
      </c>
      <c r="E169" s="44">
        <v>24446</v>
      </c>
      <c r="F169" s="67">
        <f t="shared" si="8"/>
        <v>1.0072517511330861</v>
      </c>
      <c r="G169" s="44">
        <v>24241</v>
      </c>
      <c r="H169" s="62">
        <f t="shared" si="7"/>
        <v>0.99880510918829835</v>
      </c>
    </row>
    <row r="170" spans="1:8" x14ac:dyDescent="0.2">
      <c r="A170" s="45" t="s">
        <v>86</v>
      </c>
      <c r="B170" s="45" t="s">
        <v>129</v>
      </c>
      <c r="C170" s="45" t="s">
        <v>128</v>
      </c>
      <c r="D170" s="44">
        <v>29843</v>
      </c>
      <c r="E170" s="44">
        <v>29963</v>
      </c>
      <c r="F170" s="67">
        <f t="shared" si="8"/>
        <v>1.0040210434607781</v>
      </c>
      <c r="G170" s="44">
        <v>30554</v>
      </c>
      <c r="H170" s="62">
        <f t="shared" si="7"/>
        <v>1.0238246825051101</v>
      </c>
    </row>
    <row r="171" spans="1:8" x14ac:dyDescent="0.2">
      <c r="A171" s="45" t="s">
        <v>86</v>
      </c>
      <c r="B171" s="45" t="s">
        <v>127</v>
      </c>
      <c r="C171" s="45" t="s">
        <v>126</v>
      </c>
      <c r="D171" s="44">
        <v>34462</v>
      </c>
      <c r="E171" s="44">
        <v>35667</v>
      </c>
      <c r="F171" s="67">
        <f t="shared" si="8"/>
        <v>1.0349660495618362</v>
      </c>
      <c r="G171" s="44">
        <v>41086</v>
      </c>
      <c r="H171" s="62">
        <f t="shared" si="7"/>
        <v>1.192211711450293</v>
      </c>
    </row>
    <row r="172" spans="1:8" x14ac:dyDescent="0.2">
      <c r="A172" s="51" t="s">
        <v>88</v>
      </c>
      <c r="B172" s="51" t="s">
        <v>125</v>
      </c>
      <c r="C172" s="51" t="s">
        <v>124</v>
      </c>
      <c r="D172" s="57">
        <v>28552</v>
      </c>
      <c r="E172" s="57">
        <v>30298</v>
      </c>
      <c r="F172" s="65">
        <f t="shared" si="8"/>
        <v>1.0611515830764919</v>
      </c>
      <c r="G172" s="57">
        <v>32710</v>
      </c>
      <c r="H172" s="60">
        <f t="shared" si="7"/>
        <v>1.1456290277388623</v>
      </c>
    </row>
    <row r="173" spans="1:8" x14ac:dyDescent="0.2">
      <c r="A173" s="49" t="s">
        <v>87</v>
      </c>
      <c r="B173" s="49" t="s">
        <v>123</v>
      </c>
      <c r="C173" s="49" t="s">
        <v>121</v>
      </c>
      <c r="D173" s="52">
        <v>21596</v>
      </c>
      <c r="E173" s="52">
        <v>23455</v>
      </c>
      <c r="F173" s="66">
        <f t="shared" si="8"/>
        <v>1.0860807556954992</v>
      </c>
      <c r="G173" s="52">
        <v>26458</v>
      </c>
      <c r="H173" s="61">
        <f t="shared" si="7"/>
        <v>1.2251342841266901</v>
      </c>
    </row>
    <row r="174" spans="1:8" x14ac:dyDescent="0.2">
      <c r="A174" s="45" t="s">
        <v>86</v>
      </c>
      <c r="B174" s="45" t="s">
        <v>122</v>
      </c>
      <c r="C174" s="45" t="s">
        <v>121</v>
      </c>
      <c r="D174" s="44">
        <v>21992</v>
      </c>
      <c r="E174" s="44">
        <v>23579</v>
      </c>
      <c r="F174" s="67">
        <f t="shared" si="8"/>
        <v>1.0721626045834849</v>
      </c>
      <c r="G174" s="44">
        <v>26425</v>
      </c>
      <c r="H174" s="62">
        <f t="shared" si="7"/>
        <v>1.2015732993815933</v>
      </c>
    </row>
    <row r="175" spans="1:8" x14ac:dyDescent="0.2">
      <c r="A175" s="49" t="s">
        <v>87</v>
      </c>
      <c r="B175" s="49" t="s">
        <v>120</v>
      </c>
      <c r="C175" s="49" t="s">
        <v>119</v>
      </c>
      <c r="D175" s="52">
        <v>23766</v>
      </c>
      <c r="E175" s="52">
        <v>25689</v>
      </c>
      <c r="F175" s="66">
        <f t="shared" si="8"/>
        <v>1.0809139106286292</v>
      </c>
      <c r="G175" s="52">
        <v>27870</v>
      </c>
      <c r="H175" s="61">
        <f t="shared" si="7"/>
        <v>1.1726836657409745</v>
      </c>
    </row>
    <row r="176" spans="1:8" x14ac:dyDescent="0.2">
      <c r="A176" s="45" t="s">
        <v>86</v>
      </c>
      <c r="B176" s="45" t="s">
        <v>118</v>
      </c>
      <c r="C176" s="45" t="s">
        <v>117</v>
      </c>
      <c r="D176" s="44">
        <v>25446</v>
      </c>
      <c r="E176" s="44">
        <v>26831</v>
      </c>
      <c r="F176" s="67">
        <f t="shared" si="8"/>
        <v>1.054428986874165</v>
      </c>
      <c r="G176" s="44">
        <v>28300</v>
      </c>
      <c r="H176" s="62">
        <f t="shared" si="7"/>
        <v>1.1121590819775211</v>
      </c>
    </row>
    <row r="177" spans="1:8" x14ac:dyDescent="0.2">
      <c r="A177" s="45" t="s">
        <v>86</v>
      </c>
      <c r="B177" s="45" t="s">
        <v>116</v>
      </c>
      <c r="C177" s="45" t="s">
        <v>115</v>
      </c>
      <c r="D177" s="44">
        <v>21125</v>
      </c>
      <c r="E177" s="44">
        <v>21691</v>
      </c>
      <c r="F177" s="67">
        <f t="shared" si="8"/>
        <v>1.026792899408284</v>
      </c>
      <c r="G177" s="44">
        <v>19665</v>
      </c>
      <c r="H177" s="62">
        <f t="shared" si="7"/>
        <v>0.93088757396449706</v>
      </c>
    </row>
    <row r="178" spans="1:8" x14ac:dyDescent="0.2">
      <c r="A178" s="45" t="s">
        <v>86</v>
      </c>
      <c r="B178" s="45" t="s">
        <v>114</v>
      </c>
      <c r="C178" s="45" t="s">
        <v>113</v>
      </c>
      <c r="D178" s="44">
        <v>24862</v>
      </c>
      <c r="E178" s="44">
        <v>26743</v>
      </c>
      <c r="F178" s="67">
        <f t="shared" si="8"/>
        <v>1.0756576301182528</v>
      </c>
      <c r="G178" s="44">
        <v>29305</v>
      </c>
      <c r="H178" s="62">
        <f t="shared" si="7"/>
        <v>1.1787064596573082</v>
      </c>
    </row>
    <row r="179" spans="1:8" x14ac:dyDescent="0.2">
      <c r="A179" s="49" t="s">
        <v>87</v>
      </c>
      <c r="B179" s="49" t="s">
        <v>112</v>
      </c>
      <c r="C179" s="49" t="s">
        <v>111</v>
      </c>
      <c r="D179" s="52">
        <v>35235</v>
      </c>
      <c r="E179" s="52">
        <v>38911</v>
      </c>
      <c r="F179" s="66">
        <f t="shared" si="8"/>
        <v>1.1043280828721442</v>
      </c>
      <c r="G179" s="52">
        <v>43223</v>
      </c>
      <c r="H179" s="61">
        <f t="shared" si="7"/>
        <v>1.2267063998864765</v>
      </c>
    </row>
    <row r="180" spans="1:8" x14ac:dyDescent="0.2">
      <c r="A180" s="45" t="s">
        <v>86</v>
      </c>
      <c r="B180" s="45" t="s">
        <v>110</v>
      </c>
      <c r="C180" s="45" t="s">
        <v>109</v>
      </c>
      <c r="D180" s="44">
        <v>37563</v>
      </c>
      <c r="E180" s="44">
        <v>38841</v>
      </c>
      <c r="F180" s="67">
        <f t="shared" si="8"/>
        <v>1.0340228416260682</v>
      </c>
      <c r="G180" s="44">
        <v>42572</v>
      </c>
      <c r="H180" s="62">
        <f t="shared" si="7"/>
        <v>1.1333493064984159</v>
      </c>
    </row>
    <row r="181" spans="1:8" x14ac:dyDescent="0.2">
      <c r="A181" s="45" t="s">
        <v>86</v>
      </c>
      <c r="B181" s="45" t="s">
        <v>108</v>
      </c>
      <c r="C181" s="45" t="s">
        <v>107</v>
      </c>
      <c r="D181" s="44">
        <v>33245</v>
      </c>
      <c r="E181" s="44">
        <v>39021</v>
      </c>
      <c r="F181" s="67">
        <f t="shared" si="8"/>
        <v>1.1737404120920438</v>
      </c>
      <c r="G181" s="44">
        <v>43859</v>
      </c>
      <c r="H181" s="62">
        <f t="shared" si="7"/>
        <v>1.3192660550458715</v>
      </c>
    </row>
    <row r="182" spans="1:8" x14ac:dyDescent="0.2">
      <c r="A182" s="49" t="s">
        <v>87</v>
      </c>
      <c r="B182" s="49" t="s">
        <v>106</v>
      </c>
      <c r="C182" s="49" t="s">
        <v>105</v>
      </c>
      <c r="D182" s="52">
        <v>27384</v>
      </c>
      <c r="E182" s="52">
        <v>27233</v>
      </c>
      <c r="F182" s="66">
        <f t="shared" si="8"/>
        <v>0.99448583114227285</v>
      </c>
      <c r="G182" s="52">
        <v>28908</v>
      </c>
      <c r="H182" s="61">
        <f t="shared" si="7"/>
        <v>1.0556529360210343</v>
      </c>
    </row>
    <row r="183" spans="1:8" x14ac:dyDescent="0.2">
      <c r="A183" s="45" t="s">
        <v>86</v>
      </c>
      <c r="B183" s="45" t="s">
        <v>104</v>
      </c>
      <c r="C183" s="45" t="s">
        <v>103</v>
      </c>
      <c r="D183" s="44">
        <v>23244</v>
      </c>
      <c r="E183" s="44">
        <v>23310</v>
      </c>
      <c r="F183" s="67">
        <f t="shared" si="8"/>
        <v>1.0028394424367579</v>
      </c>
      <c r="G183" s="44">
        <v>26255</v>
      </c>
      <c r="H183" s="62">
        <f t="shared" si="7"/>
        <v>1.1295388057133025</v>
      </c>
    </row>
    <row r="184" spans="1:8" x14ac:dyDescent="0.2">
      <c r="A184" s="45" t="s">
        <v>86</v>
      </c>
      <c r="B184" s="45" t="s">
        <v>102</v>
      </c>
      <c r="C184" s="45" t="s">
        <v>101</v>
      </c>
      <c r="D184" s="44">
        <v>25997</v>
      </c>
      <c r="E184" s="44">
        <v>26476</v>
      </c>
      <c r="F184" s="67">
        <f t="shared" si="8"/>
        <v>1.0184252029080278</v>
      </c>
      <c r="G184" s="44">
        <v>27271</v>
      </c>
      <c r="H184" s="62">
        <f t="shared" si="7"/>
        <v>1.049005654498596</v>
      </c>
    </row>
    <row r="185" spans="1:8" x14ac:dyDescent="0.2">
      <c r="A185" s="45" t="s">
        <v>86</v>
      </c>
      <c r="B185" s="45" t="s">
        <v>100</v>
      </c>
      <c r="C185" s="45" t="s">
        <v>99</v>
      </c>
      <c r="D185" s="44">
        <v>31001</v>
      </c>
      <c r="E185" s="44">
        <v>30820</v>
      </c>
      <c r="F185" s="67">
        <f t="shared" si="8"/>
        <v>0.99416147866197868</v>
      </c>
      <c r="G185" s="44">
        <v>33710</v>
      </c>
      <c r="H185" s="62">
        <f t="shared" si="7"/>
        <v>1.0873842779265186</v>
      </c>
    </row>
    <row r="186" spans="1:8" x14ac:dyDescent="0.2">
      <c r="A186" s="45" t="s">
        <v>86</v>
      </c>
      <c r="B186" s="45" t="s">
        <v>98</v>
      </c>
      <c r="C186" s="45" t="s">
        <v>97</v>
      </c>
      <c r="D186" s="44">
        <v>28232</v>
      </c>
      <c r="E186" s="44">
        <v>26883</v>
      </c>
      <c r="F186" s="67">
        <f t="shared" si="8"/>
        <v>0.95221734202323605</v>
      </c>
      <c r="G186" s="44">
        <v>27845</v>
      </c>
      <c r="H186" s="62">
        <f t="shared" si="7"/>
        <v>0.98629215075092092</v>
      </c>
    </row>
    <row r="187" spans="1:8" x14ac:dyDescent="0.2">
      <c r="A187" s="49" t="s">
        <v>87</v>
      </c>
      <c r="B187" s="49" t="s">
        <v>96</v>
      </c>
      <c r="C187" s="49" t="s">
        <v>95</v>
      </c>
      <c r="D187" s="52">
        <v>33405</v>
      </c>
      <c r="E187" s="52">
        <v>34693</v>
      </c>
      <c r="F187" s="66">
        <f t="shared" si="8"/>
        <v>1.0385571022302051</v>
      </c>
      <c r="G187" s="52">
        <v>36484</v>
      </c>
      <c r="H187" s="61">
        <f t="shared" si="7"/>
        <v>1.0921718305642867</v>
      </c>
    </row>
    <row r="188" spans="1:8" x14ac:dyDescent="0.2">
      <c r="A188" s="45" t="s">
        <v>86</v>
      </c>
      <c r="B188" s="45" t="s">
        <v>94</v>
      </c>
      <c r="C188" s="45" t="s">
        <v>93</v>
      </c>
      <c r="D188" s="44">
        <v>50810</v>
      </c>
      <c r="E188" s="44">
        <v>50940</v>
      </c>
      <c r="F188" s="67">
        <f t="shared" si="8"/>
        <v>1.0025585514662467</v>
      </c>
      <c r="G188" s="44">
        <v>50062</v>
      </c>
      <c r="H188" s="62">
        <f t="shared" si="7"/>
        <v>0.98527848848651844</v>
      </c>
    </row>
    <row r="189" spans="1:8" x14ac:dyDescent="0.2">
      <c r="A189" s="45" t="s">
        <v>86</v>
      </c>
      <c r="B189" s="45" t="s">
        <v>92</v>
      </c>
      <c r="C189" s="45" t="s">
        <v>91</v>
      </c>
      <c r="D189" s="44">
        <v>28453</v>
      </c>
      <c r="E189" s="44">
        <v>29345</v>
      </c>
      <c r="F189" s="67">
        <f t="shared" si="8"/>
        <v>1.0313499455241979</v>
      </c>
      <c r="G189" s="44">
        <v>30489</v>
      </c>
      <c r="H189" s="62">
        <f t="shared" si="7"/>
        <v>1.0715566021157699</v>
      </c>
    </row>
    <row r="190" spans="1:8" x14ac:dyDescent="0.2">
      <c r="A190" s="45" t="s">
        <v>86</v>
      </c>
      <c r="B190" s="45" t="s">
        <v>90</v>
      </c>
      <c r="C190" s="45" t="s">
        <v>89</v>
      </c>
      <c r="D190" s="44">
        <v>31478</v>
      </c>
      <c r="E190" s="44">
        <v>33225</v>
      </c>
      <c r="F190" s="67">
        <f t="shared" si="8"/>
        <v>1.0554990787216469</v>
      </c>
      <c r="G190" s="44">
        <v>36292</v>
      </c>
      <c r="H190" s="62">
        <f t="shared" si="7"/>
        <v>1.1529322066204968</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07A1A-B736-4786-85C3-1F73F637973C}">
  <dimension ref="A1:H123"/>
  <sheetViews>
    <sheetView tabSelected="1" topLeftCell="A102" workbookViewId="0">
      <selection activeCell="C108" sqref="C108"/>
    </sheetView>
  </sheetViews>
  <sheetFormatPr defaultColWidth="14.28515625" defaultRowHeight="15" x14ac:dyDescent="0.2"/>
  <cols>
    <col min="1" max="1" width="7" style="7" bestFit="1" customWidth="1"/>
    <col min="2" max="2" width="13" style="7" bestFit="1" customWidth="1"/>
    <col min="3" max="3" width="59.140625" style="7" bestFit="1" customWidth="1"/>
    <col min="4" max="5" width="9.5703125" style="21" bestFit="1" customWidth="1"/>
    <col min="6" max="6" width="28.140625" bestFit="1" customWidth="1"/>
    <col min="7" max="7" width="9.5703125" style="21" bestFit="1" customWidth="1"/>
    <col min="8" max="8" width="25.85546875" style="21" bestFit="1" customWidth="1"/>
    <col min="9" max="16384" width="14.28515625" style="21"/>
  </cols>
  <sheetData>
    <row r="1" spans="1:8" ht="18" x14ac:dyDescent="0.25">
      <c r="A1" s="9" t="s">
        <v>79</v>
      </c>
      <c r="B1" s="20"/>
      <c r="C1" s="20"/>
      <c r="D1" s="20"/>
      <c r="E1" s="20"/>
      <c r="G1" s="20"/>
    </row>
    <row r="2" spans="1:8" s="7" customFormat="1" ht="15.75" x14ac:dyDescent="0.25">
      <c r="A2" s="8" t="s">
        <v>38</v>
      </c>
      <c r="B2" s="8" t="s">
        <v>39</v>
      </c>
      <c r="C2" s="8" t="s">
        <v>40</v>
      </c>
      <c r="D2" s="22" t="s">
        <v>44</v>
      </c>
      <c r="E2" s="22" t="s">
        <v>54</v>
      </c>
      <c r="F2" s="22" t="s">
        <v>458</v>
      </c>
      <c r="G2" s="22" t="s">
        <v>64</v>
      </c>
      <c r="H2" s="22" t="s">
        <v>459</v>
      </c>
    </row>
    <row r="3" spans="1:8" x14ac:dyDescent="0.2">
      <c r="A3" s="53" t="s">
        <v>86</v>
      </c>
      <c r="B3" s="53" t="s">
        <v>453</v>
      </c>
      <c r="C3" s="53" t="s">
        <v>452</v>
      </c>
      <c r="D3" s="44">
        <v>23560</v>
      </c>
      <c r="E3" s="44">
        <v>26759</v>
      </c>
      <c r="F3" s="67">
        <f t="shared" ref="F3:F48" si="0">E3/D3</f>
        <v>1.1357809847198641</v>
      </c>
      <c r="G3" s="44">
        <v>28409</v>
      </c>
      <c r="H3" s="62">
        <f t="shared" ref="H3:H48" si="1">G3/D3</f>
        <v>1.2058149405772496</v>
      </c>
    </row>
    <row r="4" spans="1:8" x14ac:dyDescent="0.2">
      <c r="A4" s="53" t="s">
        <v>86</v>
      </c>
      <c r="B4" s="53" t="s">
        <v>451</v>
      </c>
      <c r="C4" s="53" t="s">
        <v>450</v>
      </c>
      <c r="D4" s="44">
        <v>19250</v>
      </c>
      <c r="E4" s="44">
        <v>21274</v>
      </c>
      <c r="F4" s="67">
        <f t="shared" si="0"/>
        <v>1.1051428571428572</v>
      </c>
      <c r="G4" s="44">
        <v>21887</v>
      </c>
      <c r="H4" s="62">
        <f t="shared" si="1"/>
        <v>1.136987012987013</v>
      </c>
    </row>
    <row r="5" spans="1:8" x14ac:dyDescent="0.2">
      <c r="A5" s="53" t="s">
        <v>86</v>
      </c>
      <c r="B5" s="53" t="s">
        <v>449</v>
      </c>
      <c r="C5" s="53" t="s">
        <v>448</v>
      </c>
      <c r="D5" s="44">
        <v>14391</v>
      </c>
      <c r="E5" s="44">
        <v>20558</v>
      </c>
      <c r="F5" s="67">
        <f t="shared" si="0"/>
        <v>1.428531721214648</v>
      </c>
      <c r="G5" s="44">
        <v>27011</v>
      </c>
      <c r="H5" s="62">
        <f t="shared" si="1"/>
        <v>1.8769369744979501</v>
      </c>
    </row>
    <row r="6" spans="1:8" x14ac:dyDescent="0.2">
      <c r="A6" s="53" t="s">
        <v>86</v>
      </c>
      <c r="B6" s="53" t="s">
        <v>445</v>
      </c>
      <c r="C6" s="53" t="s">
        <v>444</v>
      </c>
      <c r="D6" s="44">
        <v>20569</v>
      </c>
      <c r="E6" s="44">
        <v>21660</v>
      </c>
      <c r="F6" s="67">
        <f t="shared" si="0"/>
        <v>1.0530409840050561</v>
      </c>
      <c r="G6" s="44">
        <v>23118</v>
      </c>
      <c r="H6" s="62">
        <f t="shared" si="1"/>
        <v>1.1239243521804658</v>
      </c>
    </row>
    <row r="7" spans="1:8" x14ac:dyDescent="0.2">
      <c r="A7" s="53" t="s">
        <v>86</v>
      </c>
      <c r="B7" s="53" t="s">
        <v>443</v>
      </c>
      <c r="C7" s="53" t="s">
        <v>442</v>
      </c>
      <c r="D7" s="44">
        <v>19697</v>
      </c>
      <c r="E7" s="44">
        <v>21196</v>
      </c>
      <c r="F7" s="67">
        <f t="shared" si="0"/>
        <v>1.0761029598416003</v>
      </c>
      <c r="G7" s="44">
        <v>21331</v>
      </c>
      <c r="H7" s="62">
        <f t="shared" si="1"/>
        <v>1.0829567954510839</v>
      </c>
    </row>
    <row r="8" spans="1:8" x14ac:dyDescent="0.2">
      <c r="A8" s="53" t="s">
        <v>86</v>
      </c>
      <c r="B8" s="53" t="s">
        <v>441</v>
      </c>
      <c r="C8" s="53" t="s">
        <v>440</v>
      </c>
      <c r="D8" s="44">
        <v>22002</v>
      </c>
      <c r="E8" s="44">
        <v>25714</v>
      </c>
      <c r="F8" s="67">
        <f t="shared" si="0"/>
        <v>1.1687119352786111</v>
      </c>
      <c r="G8" s="44">
        <v>28681</v>
      </c>
      <c r="H8" s="62">
        <f t="shared" si="1"/>
        <v>1.303563312426143</v>
      </c>
    </row>
    <row r="9" spans="1:8" x14ac:dyDescent="0.2">
      <c r="A9" s="53" t="s">
        <v>86</v>
      </c>
      <c r="B9" s="53" t="s">
        <v>439</v>
      </c>
      <c r="C9" s="53" t="s">
        <v>438</v>
      </c>
      <c r="D9" s="44">
        <v>24531</v>
      </c>
      <c r="E9" s="44">
        <v>28226</v>
      </c>
      <c r="F9" s="67">
        <f t="shared" si="0"/>
        <v>1.150625738861033</v>
      </c>
      <c r="G9" s="44">
        <v>28901</v>
      </c>
      <c r="H9" s="62">
        <f t="shared" si="1"/>
        <v>1.1781419428478253</v>
      </c>
    </row>
    <row r="10" spans="1:8" x14ac:dyDescent="0.2">
      <c r="A10" s="45" t="s">
        <v>86</v>
      </c>
      <c r="B10" s="45" t="s">
        <v>433</v>
      </c>
      <c r="C10" s="45" t="s">
        <v>432</v>
      </c>
      <c r="D10" s="44">
        <v>26204</v>
      </c>
      <c r="E10" s="44">
        <v>27030</v>
      </c>
      <c r="F10" s="67">
        <f t="shared" si="0"/>
        <v>1.0315219050526636</v>
      </c>
      <c r="G10" s="44">
        <v>25615</v>
      </c>
      <c r="H10" s="62">
        <f t="shared" si="1"/>
        <v>0.97752251564646619</v>
      </c>
    </row>
    <row r="11" spans="1:8" x14ac:dyDescent="0.2">
      <c r="A11" s="45" t="s">
        <v>86</v>
      </c>
      <c r="B11" s="45" t="s">
        <v>431</v>
      </c>
      <c r="C11" s="45" t="s">
        <v>430</v>
      </c>
      <c r="D11" s="44">
        <v>24849</v>
      </c>
      <c r="E11" s="44">
        <v>29314</v>
      </c>
      <c r="F11" s="67">
        <f t="shared" si="0"/>
        <v>1.1796852992072115</v>
      </c>
      <c r="G11" s="44">
        <v>33222</v>
      </c>
      <c r="H11" s="62">
        <f t="shared" si="1"/>
        <v>1.3369552094651695</v>
      </c>
    </row>
    <row r="12" spans="1:8" x14ac:dyDescent="0.2">
      <c r="A12" s="45" t="s">
        <v>86</v>
      </c>
      <c r="B12" s="45" t="s">
        <v>427</v>
      </c>
      <c r="C12" s="45" t="s">
        <v>426</v>
      </c>
      <c r="D12" s="44">
        <v>40010</v>
      </c>
      <c r="E12" s="44">
        <v>44007</v>
      </c>
      <c r="F12" s="67">
        <f t="shared" si="0"/>
        <v>1.0999000249937516</v>
      </c>
      <c r="G12" s="44">
        <v>54506</v>
      </c>
      <c r="H12" s="62">
        <f t="shared" si="1"/>
        <v>1.3623094226443389</v>
      </c>
    </row>
    <row r="13" spans="1:8" x14ac:dyDescent="0.2">
      <c r="A13" s="45" t="s">
        <v>86</v>
      </c>
      <c r="B13" s="45" t="s">
        <v>425</v>
      </c>
      <c r="C13" s="45" t="s">
        <v>424</v>
      </c>
      <c r="D13" s="44">
        <v>33363</v>
      </c>
      <c r="E13" s="44">
        <v>34961</v>
      </c>
      <c r="F13" s="67">
        <f t="shared" si="0"/>
        <v>1.0478973713395079</v>
      </c>
      <c r="G13" s="44">
        <v>43666</v>
      </c>
      <c r="H13" s="62">
        <f t="shared" si="1"/>
        <v>1.308815154512484</v>
      </c>
    </row>
    <row r="14" spans="1:8" x14ac:dyDescent="0.2">
      <c r="A14" s="45" t="s">
        <v>86</v>
      </c>
      <c r="B14" s="45" t="s">
        <v>423</v>
      </c>
      <c r="C14" s="45" t="s">
        <v>422</v>
      </c>
      <c r="D14" s="44">
        <v>21543</v>
      </c>
      <c r="E14" s="44">
        <v>23671</v>
      </c>
      <c r="F14" s="67">
        <f t="shared" si="0"/>
        <v>1.0987791858144176</v>
      </c>
      <c r="G14" s="44">
        <v>24938</v>
      </c>
      <c r="H14" s="62">
        <f t="shared" si="1"/>
        <v>1.1575917931578703</v>
      </c>
    </row>
    <row r="15" spans="1:8" x14ac:dyDescent="0.2">
      <c r="A15" s="45" t="s">
        <v>86</v>
      </c>
      <c r="B15" s="45" t="s">
        <v>421</v>
      </c>
      <c r="C15" s="45" t="s">
        <v>420</v>
      </c>
      <c r="D15" s="44">
        <v>21304</v>
      </c>
      <c r="E15" s="44">
        <v>20914</v>
      </c>
      <c r="F15" s="67">
        <f t="shared" si="0"/>
        <v>0.9816935786706722</v>
      </c>
      <c r="G15" s="44">
        <v>22984</v>
      </c>
      <c r="H15" s="62">
        <f t="shared" si="1"/>
        <v>1.0788584303417199</v>
      </c>
    </row>
    <row r="16" spans="1:8" x14ac:dyDescent="0.2">
      <c r="A16" s="45" t="s">
        <v>86</v>
      </c>
      <c r="B16" s="45" t="s">
        <v>419</v>
      </c>
      <c r="C16" s="45" t="s">
        <v>418</v>
      </c>
      <c r="D16" s="44">
        <v>18051</v>
      </c>
      <c r="E16" s="44">
        <v>20343</v>
      </c>
      <c r="F16" s="67">
        <f t="shared" si="0"/>
        <v>1.1269735748711982</v>
      </c>
      <c r="G16" s="44">
        <v>21170</v>
      </c>
      <c r="H16" s="62">
        <f t="shared" si="1"/>
        <v>1.1727882111794361</v>
      </c>
    </row>
    <row r="17" spans="1:8" x14ac:dyDescent="0.2">
      <c r="A17" s="45" t="s">
        <v>86</v>
      </c>
      <c r="B17" s="45" t="s">
        <v>415</v>
      </c>
      <c r="C17" s="45" t="s">
        <v>414</v>
      </c>
      <c r="D17" s="44">
        <v>19973</v>
      </c>
      <c r="E17" s="44">
        <v>22287</v>
      </c>
      <c r="F17" s="67">
        <f t="shared" si="0"/>
        <v>1.1158564061483003</v>
      </c>
      <c r="G17" s="44">
        <v>27049</v>
      </c>
      <c r="H17" s="62">
        <f t="shared" si="1"/>
        <v>1.3542782756721574</v>
      </c>
    </row>
    <row r="18" spans="1:8" x14ac:dyDescent="0.2">
      <c r="A18" s="45" t="s">
        <v>86</v>
      </c>
      <c r="B18" s="45" t="s">
        <v>413</v>
      </c>
      <c r="C18" s="45" t="s">
        <v>412</v>
      </c>
      <c r="D18" s="44">
        <v>21297</v>
      </c>
      <c r="E18" s="44">
        <v>22296</v>
      </c>
      <c r="F18" s="67">
        <f t="shared" si="0"/>
        <v>1.0469080152134103</v>
      </c>
      <c r="G18" s="44">
        <v>23751</v>
      </c>
      <c r="H18" s="62">
        <f t="shared" si="1"/>
        <v>1.1152274968305396</v>
      </c>
    </row>
    <row r="19" spans="1:8" x14ac:dyDescent="0.2">
      <c r="A19" s="45" t="s">
        <v>86</v>
      </c>
      <c r="B19" s="45" t="s">
        <v>411</v>
      </c>
      <c r="C19" s="45" t="s">
        <v>410</v>
      </c>
      <c r="D19" s="44">
        <v>21630</v>
      </c>
      <c r="E19" s="44">
        <v>21024</v>
      </c>
      <c r="F19" s="67">
        <f t="shared" si="0"/>
        <v>0.97198335644937583</v>
      </c>
      <c r="G19" s="44">
        <v>23797</v>
      </c>
      <c r="H19" s="62">
        <f t="shared" si="1"/>
        <v>1.100184928340268</v>
      </c>
    </row>
    <row r="20" spans="1:8" x14ac:dyDescent="0.2">
      <c r="A20" s="45" t="s">
        <v>86</v>
      </c>
      <c r="B20" s="45" t="s">
        <v>409</v>
      </c>
      <c r="C20" s="45" t="s">
        <v>408</v>
      </c>
      <c r="D20" s="44">
        <v>35704</v>
      </c>
      <c r="E20" s="44">
        <v>37130</v>
      </c>
      <c r="F20" s="67">
        <f t="shared" si="0"/>
        <v>1.0399395025767422</v>
      </c>
      <c r="G20" s="44">
        <v>39501</v>
      </c>
      <c r="H20" s="62">
        <f t="shared" si="1"/>
        <v>1.1063466278288148</v>
      </c>
    </row>
    <row r="21" spans="1:8" x14ac:dyDescent="0.2">
      <c r="A21" s="45" t="s">
        <v>86</v>
      </c>
      <c r="B21" s="45" t="s">
        <v>407</v>
      </c>
      <c r="C21" s="45" t="s">
        <v>406</v>
      </c>
      <c r="D21" s="44">
        <v>19002</v>
      </c>
      <c r="E21" s="44">
        <v>22044</v>
      </c>
      <c r="F21" s="67">
        <f t="shared" si="0"/>
        <v>1.1600884117461321</v>
      </c>
      <c r="G21" s="44">
        <v>23493</v>
      </c>
      <c r="H21" s="62">
        <f t="shared" si="1"/>
        <v>1.2363435427849701</v>
      </c>
    </row>
    <row r="22" spans="1:8" x14ac:dyDescent="0.2">
      <c r="A22" s="45" t="s">
        <v>86</v>
      </c>
      <c r="B22" s="45" t="s">
        <v>405</v>
      </c>
      <c r="C22" s="45" t="s">
        <v>404</v>
      </c>
      <c r="D22" s="44">
        <v>22259</v>
      </c>
      <c r="E22" s="44">
        <v>24471</v>
      </c>
      <c r="F22" s="67">
        <f t="shared" si="0"/>
        <v>1.0993755334920707</v>
      </c>
      <c r="G22" s="44">
        <v>27328</v>
      </c>
      <c r="H22" s="62">
        <f t="shared" si="1"/>
        <v>1.2277281099779864</v>
      </c>
    </row>
    <row r="23" spans="1:8" x14ac:dyDescent="0.2">
      <c r="A23" s="45" t="s">
        <v>86</v>
      </c>
      <c r="B23" s="45" t="s">
        <v>401</v>
      </c>
      <c r="C23" s="45" t="s">
        <v>400</v>
      </c>
      <c r="D23" s="44">
        <v>32471</v>
      </c>
      <c r="E23" s="44">
        <v>35594</v>
      </c>
      <c r="F23" s="67">
        <f t="shared" si="0"/>
        <v>1.0961781281759109</v>
      </c>
      <c r="G23" s="44">
        <v>47255</v>
      </c>
      <c r="H23" s="62">
        <f t="shared" si="1"/>
        <v>1.4552985741122848</v>
      </c>
    </row>
    <row r="24" spans="1:8" x14ac:dyDescent="0.2">
      <c r="A24" s="45" t="s">
        <v>86</v>
      </c>
      <c r="B24" s="45" t="s">
        <v>399</v>
      </c>
      <c r="C24" s="45" t="s">
        <v>398</v>
      </c>
      <c r="D24" s="44">
        <v>37389</v>
      </c>
      <c r="E24" s="44">
        <v>39479</v>
      </c>
      <c r="F24" s="67">
        <f t="shared" si="0"/>
        <v>1.0558987937628714</v>
      </c>
      <c r="G24" s="44">
        <v>40876</v>
      </c>
      <c r="H24" s="62">
        <f t="shared" si="1"/>
        <v>1.0932627243306854</v>
      </c>
    </row>
    <row r="25" spans="1:8" x14ac:dyDescent="0.2">
      <c r="A25" s="45" t="s">
        <v>86</v>
      </c>
      <c r="B25" s="45" t="s">
        <v>397</v>
      </c>
      <c r="C25" s="45" t="s">
        <v>396</v>
      </c>
      <c r="D25" s="44">
        <v>33254</v>
      </c>
      <c r="E25" s="44">
        <v>38029</v>
      </c>
      <c r="F25" s="67">
        <f t="shared" si="0"/>
        <v>1.1435917483610993</v>
      </c>
      <c r="G25" s="44">
        <v>39595</v>
      </c>
      <c r="H25" s="62">
        <f t="shared" si="1"/>
        <v>1.1906838275094724</v>
      </c>
    </row>
    <row r="26" spans="1:8" x14ac:dyDescent="0.2">
      <c r="A26" s="45" t="s">
        <v>86</v>
      </c>
      <c r="B26" s="45" t="s">
        <v>393</v>
      </c>
      <c r="C26" s="45" t="s">
        <v>392</v>
      </c>
      <c r="D26" s="44">
        <v>22155</v>
      </c>
      <c r="E26" s="44">
        <v>26401</v>
      </c>
      <c r="F26" s="67">
        <f t="shared" si="0"/>
        <v>1.1916497404649062</v>
      </c>
      <c r="G26" s="44">
        <v>29195</v>
      </c>
      <c r="H26" s="62">
        <f t="shared" si="1"/>
        <v>1.3177612277138344</v>
      </c>
    </row>
    <row r="27" spans="1:8" x14ac:dyDescent="0.2">
      <c r="A27" s="45" t="s">
        <v>86</v>
      </c>
      <c r="B27" s="45" t="s">
        <v>391</v>
      </c>
      <c r="C27" s="45" t="s">
        <v>390</v>
      </c>
      <c r="D27" s="44">
        <v>30331</v>
      </c>
      <c r="E27" s="44">
        <v>34058</v>
      </c>
      <c r="F27" s="67">
        <f t="shared" si="0"/>
        <v>1.1228775839899772</v>
      </c>
      <c r="G27" s="44">
        <v>36234</v>
      </c>
      <c r="H27" s="62">
        <f t="shared" si="1"/>
        <v>1.1946193663248821</v>
      </c>
    </row>
    <row r="28" spans="1:8" x14ac:dyDescent="0.2">
      <c r="A28" s="45" t="s">
        <v>86</v>
      </c>
      <c r="B28" s="45" t="s">
        <v>389</v>
      </c>
      <c r="C28" s="45" t="s">
        <v>388</v>
      </c>
      <c r="D28" s="44">
        <v>18353</v>
      </c>
      <c r="E28" s="44">
        <v>20046</v>
      </c>
      <c r="F28" s="67">
        <f t="shared" si="0"/>
        <v>1.0922464992099383</v>
      </c>
      <c r="G28" s="44">
        <v>21332</v>
      </c>
      <c r="H28" s="62">
        <f t="shared" si="1"/>
        <v>1.1623167874461942</v>
      </c>
    </row>
    <row r="29" spans="1:8" x14ac:dyDescent="0.2">
      <c r="A29" s="45" t="s">
        <v>86</v>
      </c>
      <c r="B29" s="45" t="s">
        <v>387</v>
      </c>
      <c r="C29" s="45" t="s">
        <v>386</v>
      </c>
      <c r="D29" s="44">
        <v>18562</v>
      </c>
      <c r="E29" s="44">
        <v>19862</v>
      </c>
      <c r="F29" s="67">
        <f t="shared" si="0"/>
        <v>1.0700355565133068</v>
      </c>
      <c r="G29" s="44">
        <v>21298</v>
      </c>
      <c r="H29" s="62">
        <f t="shared" si="1"/>
        <v>1.1473979097080056</v>
      </c>
    </row>
    <row r="30" spans="1:8" x14ac:dyDescent="0.2">
      <c r="A30" s="45" t="s">
        <v>86</v>
      </c>
      <c r="B30" s="45" t="s">
        <v>381</v>
      </c>
      <c r="C30" s="45" t="s">
        <v>461</v>
      </c>
      <c r="D30" s="44">
        <v>25620</v>
      </c>
      <c r="E30" s="44">
        <v>27283</v>
      </c>
      <c r="F30" s="67">
        <f t="shared" si="0"/>
        <v>1.0649102263856363</v>
      </c>
      <c r="G30" s="44">
        <v>28690</v>
      </c>
      <c r="H30" s="62">
        <f t="shared" si="1"/>
        <v>1.1198282591725215</v>
      </c>
    </row>
    <row r="31" spans="1:8" x14ac:dyDescent="0.2">
      <c r="A31" s="45" t="s">
        <v>86</v>
      </c>
      <c r="B31" s="45" t="s">
        <v>379</v>
      </c>
      <c r="C31" s="45" t="s">
        <v>378</v>
      </c>
      <c r="D31" s="44">
        <v>23992</v>
      </c>
      <c r="E31" s="44">
        <v>23153</v>
      </c>
      <c r="F31" s="67">
        <f t="shared" si="0"/>
        <v>0.96503001000333444</v>
      </c>
      <c r="G31" s="44">
        <v>28648</v>
      </c>
      <c r="H31" s="62">
        <f t="shared" si="1"/>
        <v>1.1940646882294097</v>
      </c>
    </row>
    <row r="32" spans="1:8" x14ac:dyDescent="0.2">
      <c r="A32" s="45" t="s">
        <v>86</v>
      </c>
      <c r="B32" s="45" t="s">
        <v>377</v>
      </c>
      <c r="C32" s="45" t="s">
        <v>376</v>
      </c>
      <c r="D32" s="44">
        <v>26214</v>
      </c>
      <c r="E32" s="44">
        <v>25710</v>
      </c>
      <c r="F32" s="67">
        <f t="shared" si="0"/>
        <v>0.98077363241016247</v>
      </c>
      <c r="G32" s="44">
        <v>35258</v>
      </c>
      <c r="H32" s="62">
        <f t="shared" si="1"/>
        <v>1.3450064850843062</v>
      </c>
    </row>
    <row r="33" spans="1:8" x14ac:dyDescent="0.2">
      <c r="A33" s="45" t="s">
        <v>86</v>
      </c>
      <c r="B33" s="45" t="s">
        <v>374</v>
      </c>
      <c r="C33" s="45" t="s">
        <v>373</v>
      </c>
      <c r="D33" s="44">
        <v>37180</v>
      </c>
      <c r="E33" s="44">
        <v>36947</v>
      </c>
      <c r="F33" s="67">
        <f t="shared" si="0"/>
        <v>0.99373318988703607</v>
      </c>
      <c r="G33" s="44">
        <v>38688</v>
      </c>
      <c r="H33" s="62">
        <f t="shared" si="1"/>
        <v>1.0405594405594405</v>
      </c>
    </row>
    <row r="34" spans="1:8" x14ac:dyDescent="0.2">
      <c r="A34" s="45" t="s">
        <v>86</v>
      </c>
      <c r="B34" s="45" t="s">
        <v>372</v>
      </c>
      <c r="C34" s="45" t="s">
        <v>371</v>
      </c>
      <c r="D34" s="44">
        <v>26435</v>
      </c>
      <c r="E34" s="44">
        <v>27543</v>
      </c>
      <c r="F34" s="67">
        <f t="shared" si="0"/>
        <v>1.0419141289956497</v>
      </c>
      <c r="G34" s="44">
        <v>32324</v>
      </c>
      <c r="H34" s="62">
        <f t="shared" si="1"/>
        <v>1.2227728390391526</v>
      </c>
    </row>
    <row r="35" spans="1:8" x14ac:dyDescent="0.2">
      <c r="A35" s="45" t="s">
        <v>86</v>
      </c>
      <c r="B35" s="45" t="s">
        <v>368</v>
      </c>
      <c r="C35" s="45" t="s">
        <v>367</v>
      </c>
      <c r="D35" s="44">
        <v>25241</v>
      </c>
      <c r="E35" s="44">
        <v>26482</v>
      </c>
      <c r="F35" s="67">
        <f t="shared" si="0"/>
        <v>1.0491660393803732</v>
      </c>
      <c r="G35" s="44">
        <v>29993</v>
      </c>
      <c r="H35" s="62">
        <f t="shared" si="1"/>
        <v>1.188265124202686</v>
      </c>
    </row>
    <row r="36" spans="1:8" x14ac:dyDescent="0.2">
      <c r="A36" s="45" t="s">
        <v>86</v>
      </c>
      <c r="B36" s="45" t="s">
        <v>366</v>
      </c>
      <c r="C36" s="45" t="s">
        <v>365</v>
      </c>
      <c r="D36" s="44">
        <v>19142</v>
      </c>
      <c r="E36" s="44">
        <v>19623</v>
      </c>
      <c r="F36" s="67">
        <f t="shared" si="0"/>
        <v>1.0251279908055584</v>
      </c>
      <c r="G36" s="44">
        <v>21489</v>
      </c>
      <c r="H36" s="62">
        <f t="shared" si="1"/>
        <v>1.1226099676104899</v>
      </c>
    </row>
    <row r="37" spans="1:8" x14ac:dyDescent="0.2">
      <c r="A37" s="45" t="s">
        <v>86</v>
      </c>
      <c r="B37" s="45" t="s">
        <v>364</v>
      </c>
      <c r="C37" s="45" t="s">
        <v>363</v>
      </c>
      <c r="D37" s="44">
        <v>16396</v>
      </c>
      <c r="E37" s="44">
        <v>16701</v>
      </c>
      <c r="F37" s="67">
        <f t="shared" si="0"/>
        <v>1.0186020980727006</v>
      </c>
      <c r="G37" s="44">
        <v>23261</v>
      </c>
      <c r="H37" s="62">
        <f t="shared" si="1"/>
        <v>1.4186996828494756</v>
      </c>
    </row>
    <row r="38" spans="1:8" x14ac:dyDescent="0.2">
      <c r="A38" s="45" t="s">
        <v>86</v>
      </c>
      <c r="B38" s="45" t="s">
        <v>362</v>
      </c>
      <c r="C38" s="45" t="s">
        <v>361</v>
      </c>
      <c r="D38" s="44">
        <v>16136</v>
      </c>
      <c r="E38" s="44">
        <v>16612</v>
      </c>
      <c r="F38" s="67">
        <f t="shared" si="0"/>
        <v>1.0294992563212693</v>
      </c>
      <c r="G38" s="44">
        <v>23996</v>
      </c>
      <c r="H38" s="62">
        <f t="shared" si="1"/>
        <v>1.487109568666336</v>
      </c>
    </row>
    <row r="39" spans="1:8" x14ac:dyDescent="0.2">
      <c r="A39" s="45" t="s">
        <v>86</v>
      </c>
      <c r="B39" s="45" t="s">
        <v>358</v>
      </c>
      <c r="C39" s="45" t="s">
        <v>357</v>
      </c>
      <c r="D39" s="44">
        <v>21610</v>
      </c>
      <c r="E39" s="44">
        <v>21927</v>
      </c>
      <c r="F39" s="67">
        <f t="shared" si="0"/>
        <v>1.0146691346598797</v>
      </c>
      <c r="G39" s="44">
        <v>22916</v>
      </c>
      <c r="H39" s="62">
        <f t="shared" si="1"/>
        <v>1.0604349838037945</v>
      </c>
    </row>
    <row r="40" spans="1:8" x14ac:dyDescent="0.2">
      <c r="A40" s="45" t="s">
        <v>86</v>
      </c>
      <c r="B40" s="45" t="s">
        <v>356</v>
      </c>
      <c r="C40" s="45" t="s">
        <v>355</v>
      </c>
      <c r="D40" s="44">
        <v>32032</v>
      </c>
      <c r="E40" s="44">
        <v>37467</v>
      </c>
      <c r="F40" s="67">
        <f t="shared" si="0"/>
        <v>1.169674075924076</v>
      </c>
      <c r="G40" s="44">
        <v>40040</v>
      </c>
      <c r="H40" s="62">
        <f t="shared" si="1"/>
        <v>1.25</v>
      </c>
    </row>
    <row r="41" spans="1:8" x14ac:dyDescent="0.2">
      <c r="A41" s="45" t="s">
        <v>86</v>
      </c>
      <c r="B41" s="45" t="s">
        <v>354</v>
      </c>
      <c r="C41" s="45" t="s">
        <v>353</v>
      </c>
      <c r="D41" s="44">
        <v>20819</v>
      </c>
      <c r="E41" s="44">
        <v>21300</v>
      </c>
      <c r="F41" s="67">
        <f t="shared" si="0"/>
        <v>1.0231038954800904</v>
      </c>
      <c r="G41" s="44">
        <v>25514</v>
      </c>
      <c r="H41" s="62">
        <f t="shared" si="1"/>
        <v>1.2255151544262453</v>
      </c>
    </row>
    <row r="42" spans="1:8" x14ac:dyDescent="0.2">
      <c r="A42" s="45" t="s">
        <v>86</v>
      </c>
      <c r="B42" s="45" t="s">
        <v>352</v>
      </c>
      <c r="C42" s="45" t="s">
        <v>351</v>
      </c>
      <c r="D42" s="44">
        <v>27756</v>
      </c>
      <c r="E42" s="44">
        <v>26411</v>
      </c>
      <c r="F42" s="67">
        <f t="shared" si="0"/>
        <v>0.95154200893500507</v>
      </c>
      <c r="G42" s="44">
        <v>28433</v>
      </c>
      <c r="H42" s="62">
        <f t="shared" si="1"/>
        <v>1.0243911226401499</v>
      </c>
    </row>
    <row r="43" spans="1:8" x14ac:dyDescent="0.2">
      <c r="A43" s="45" t="s">
        <v>86</v>
      </c>
      <c r="B43" s="45" t="s">
        <v>346</v>
      </c>
      <c r="C43" s="45" t="s">
        <v>345</v>
      </c>
      <c r="D43" s="44">
        <v>34743</v>
      </c>
      <c r="E43" s="44">
        <v>37345</v>
      </c>
      <c r="F43" s="67">
        <f t="shared" si="0"/>
        <v>1.0748927841579599</v>
      </c>
      <c r="G43" s="44">
        <v>36759</v>
      </c>
      <c r="H43" s="62">
        <f t="shared" si="1"/>
        <v>1.0580260771954062</v>
      </c>
    </row>
    <row r="44" spans="1:8" x14ac:dyDescent="0.2">
      <c r="A44" s="45" t="s">
        <v>86</v>
      </c>
      <c r="B44" s="45" t="s">
        <v>344</v>
      </c>
      <c r="C44" s="45" t="s">
        <v>343</v>
      </c>
      <c r="D44" s="44">
        <v>22249</v>
      </c>
      <c r="E44" s="44">
        <v>23479</v>
      </c>
      <c r="F44" s="67">
        <f t="shared" si="0"/>
        <v>1.055283383522855</v>
      </c>
      <c r="G44" s="44">
        <v>27874</v>
      </c>
      <c r="H44" s="62">
        <f t="shared" si="1"/>
        <v>1.2528203514764709</v>
      </c>
    </row>
    <row r="45" spans="1:8" x14ac:dyDescent="0.2">
      <c r="A45" s="45" t="s">
        <v>86</v>
      </c>
      <c r="B45" s="45" t="s">
        <v>342</v>
      </c>
      <c r="C45" s="45" t="s">
        <v>341</v>
      </c>
      <c r="D45" s="44">
        <v>22341</v>
      </c>
      <c r="E45" s="44">
        <v>23845</v>
      </c>
      <c r="F45" s="67">
        <f t="shared" si="0"/>
        <v>1.0673201736717246</v>
      </c>
      <c r="G45" s="44">
        <v>26619</v>
      </c>
      <c r="H45" s="62">
        <f t="shared" si="1"/>
        <v>1.1914865046327381</v>
      </c>
    </row>
    <row r="46" spans="1:8" x14ac:dyDescent="0.2">
      <c r="A46" s="45" t="s">
        <v>86</v>
      </c>
      <c r="B46" s="45" t="s">
        <v>340</v>
      </c>
      <c r="C46" s="45" t="s">
        <v>339</v>
      </c>
      <c r="D46" s="44">
        <v>38090</v>
      </c>
      <c r="E46" s="44">
        <v>38289</v>
      </c>
      <c r="F46" s="67">
        <f t="shared" si="0"/>
        <v>1.0052244683644</v>
      </c>
      <c r="G46" s="44">
        <v>37532</v>
      </c>
      <c r="H46" s="62">
        <f t="shared" si="1"/>
        <v>0.98535048569178263</v>
      </c>
    </row>
    <row r="47" spans="1:8" x14ac:dyDescent="0.2">
      <c r="A47" s="45" t="s">
        <v>86</v>
      </c>
      <c r="B47" s="45" t="s">
        <v>338</v>
      </c>
      <c r="C47" s="45" t="s">
        <v>337</v>
      </c>
      <c r="D47" s="44">
        <v>22181</v>
      </c>
      <c r="E47" s="44">
        <v>23458</v>
      </c>
      <c r="F47" s="67">
        <f t="shared" si="0"/>
        <v>1.0575717956809882</v>
      </c>
      <c r="G47" s="44">
        <v>24954</v>
      </c>
      <c r="H47" s="62">
        <f t="shared" si="1"/>
        <v>1.1250169063613003</v>
      </c>
    </row>
    <row r="48" spans="1:8" x14ac:dyDescent="0.2">
      <c r="A48" s="45" t="s">
        <v>86</v>
      </c>
      <c r="B48" s="45" t="s">
        <v>336</v>
      </c>
      <c r="C48" s="45" t="s">
        <v>335</v>
      </c>
      <c r="D48" s="44">
        <v>21194</v>
      </c>
      <c r="E48" s="44">
        <v>22459</v>
      </c>
      <c r="F48" s="67">
        <f t="shared" si="0"/>
        <v>1.0596867037840898</v>
      </c>
      <c r="G48" s="44">
        <v>24222</v>
      </c>
      <c r="H48" s="62">
        <f t="shared" si="1"/>
        <v>1.1428706237614419</v>
      </c>
    </row>
    <row r="49" spans="1:8" x14ac:dyDescent="0.2">
      <c r="A49" s="45" t="s">
        <v>86</v>
      </c>
      <c r="B49" s="45" t="s">
        <v>332</v>
      </c>
      <c r="C49" s="45" t="s">
        <v>331</v>
      </c>
      <c r="D49" s="44">
        <v>26317</v>
      </c>
      <c r="E49" s="44">
        <v>27653</v>
      </c>
      <c r="F49" s="67">
        <f t="shared" ref="F49:F88" si="2">E49/D49</f>
        <v>1.0507656647794201</v>
      </c>
      <c r="G49" s="44">
        <v>29283</v>
      </c>
      <c r="H49" s="62">
        <f t="shared" ref="H49:H88" si="3">G49/D49</f>
        <v>1.1127028156704792</v>
      </c>
    </row>
    <row r="50" spans="1:8" x14ac:dyDescent="0.2">
      <c r="A50" s="45" t="s">
        <v>86</v>
      </c>
      <c r="B50" s="45" t="s">
        <v>330</v>
      </c>
      <c r="C50" s="45" t="s">
        <v>329</v>
      </c>
      <c r="D50" s="44">
        <v>28575</v>
      </c>
      <c r="E50" s="44">
        <v>29997</v>
      </c>
      <c r="F50" s="67">
        <f t="shared" si="2"/>
        <v>1.0497637795275589</v>
      </c>
      <c r="G50" s="44">
        <v>30943</v>
      </c>
      <c r="H50" s="62">
        <f t="shared" si="3"/>
        <v>1.0828696412948382</v>
      </c>
    </row>
    <row r="51" spans="1:8" x14ac:dyDescent="0.2">
      <c r="A51" s="45" t="s">
        <v>86</v>
      </c>
      <c r="B51" s="45" t="s">
        <v>328</v>
      </c>
      <c r="C51" s="45" t="s">
        <v>327</v>
      </c>
      <c r="D51" s="44">
        <v>32845</v>
      </c>
      <c r="E51" s="44">
        <v>35162</v>
      </c>
      <c r="F51" s="67">
        <f t="shared" si="2"/>
        <v>1.0705434617141116</v>
      </c>
      <c r="G51" s="44">
        <v>37488</v>
      </c>
      <c r="H51" s="62">
        <f t="shared" si="3"/>
        <v>1.1413609377378597</v>
      </c>
    </row>
    <row r="52" spans="1:8" x14ac:dyDescent="0.2">
      <c r="A52" s="45" t="s">
        <v>86</v>
      </c>
      <c r="B52" s="45" t="s">
        <v>326</v>
      </c>
      <c r="C52" s="45" t="s">
        <v>325</v>
      </c>
      <c r="D52" s="44">
        <v>25030</v>
      </c>
      <c r="E52" s="44">
        <v>24460</v>
      </c>
      <c r="F52" s="67">
        <f t="shared" si="2"/>
        <v>0.97722732720735117</v>
      </c>
      <c r="G52" s="44">
        <v>25504</v>
      </c>
      <c r="H52" s="62">
        <f t="shared" si="3"/>
        <v>1.0189372752696764</v>
      </c>
    </row>
    <row r="53" spans="1:8" x14ac:dyDescent="0.2">
      <c r="A53" s="45" t="s">
        <v>86</v>
      </c>
      <c r="B53" s="45" t="s">
        <v>322</v>
      </c>
      <c r="C53" s="45" t="s">
        <v>321</v>
      </c>
      <c r="D53" s="44">
        <v>24580</v>
      </c>
      <c r="E53" s="44">
        <v>24632</v>
      </c>
      <c r="F53" s="67">
        <f t="shared" si="2"/>
        <v>1.0021155410903173</v>
      </c>
      <c r="G53" s="44">
        <v>26536</v>
      </c>
      <c r="H53" s="62">
        <f t="shared" si="3"/>
        <v>1.0795768917819366</v>
      </c>
    </row>
    <row r="54" spans="1:8" x14ac:dyDescent="0.2">
      <c r="A54" s="45" t="s">
        <v>86</v>
      </c>
      <c r="B54" s="45" t="s">
        <v>317</v>
      </c>
      <c r="C54" s="45" t="s">
        <v>316</v>
      </c>
      <c r="D54" s="44">
        <v>24268</v>
      </c>
      <c r="E54" s="44">
        <v>23977</v>
      </c>
      <c r="F54" s="67">
        <f t="shared" si="2"/>
        <v>0.98800890060985658</v>
      </c>
      <c r="G54" s="44">
        <v>26737</v>
      </c>
      <c r="H54" s="62">
        <f t="shared" si="3"/>
        <v>1.1017389154442063</v>
      </c>
    </row>
    <row r="55" spans="1:8" x14ac:dyDescent="0.2">
      <c r="A55" s="45" t="s">
        <v>86</v>
      </c>
      <c r="B55" s="45" t="s">
        <v>315</v>
      </c>
      <c r="C55" s="45" t="s">
        <v>314</v>
      </c>
      <c r="D55" s="44">
        <v>25565</v>
      </c>
      <c r="E55" s="44">
        <v>27352</v>
      </c>
      <c r="F55" s="67">
        <f t="shared" si="2"/>
        <v>1.0699002542538627</v>
      </c>
      <c r="G55" s="44">
        <v>29124</v>
      </c>
      <c r="H55" s="62">
        <f t="shared" si="3"/>
        <v>1.1392137688245649</v>
      </c>
    </row>
    <row r="56" spans="1:8" x14ac:dyDescent="0.2">
      <c r="A56" s="45" t="s">
        <v>86</v>
      </c>
      <c r="B56" s="45" t="s">
        <v>313</v>
      </c>
      <c r="C56" s="45" t="s">
        <v>312</v>
      </c>
      <c r="D56" s="44">
        <v>31455</v>
      </c>
      <c r="E56" s="44">
        <v>33963</v>
      </c>
      <c r="F56" s="67">
        <f t="shared" si="2"/>
        <v>1.0797329518359562</v>
      </c>
      <c r="G56" s="44">
        <v>38538</v>
      </c>
      <c r="H56" s="62">
        <f t="shared" si="3"/>
        <v>1.225178826895565</v>
      </c>
    </row>
    <row r="57" spans="1:8" x14ac:dyDescent="0.2">
      <c r="A57" s="45" t="s">
        <v>86</v>
      </c>
      <c r="B57" s="45" t="s">
        <v>309</v>
      </c>
      <c r="C57" s="45" t="s">
        <v>308</v>
      </c>
      <c r="D57" s="44">
        <v>28784</v>
      </c>
      <c r="E57" s="44">
        <v>29208</v>
      </c>
      <c r="F57" s="67">
        <f t="shared" si="2"/>
        <v>1.0147304057809894</v>
      </c>
      <c r="G57" s="44">
        <v>34183</v>
      </c>
      <c r="H57" s="62">
        <f t="shared" si="3"/>
        <v>1.1875694830461367</v>
      </c>
    </row>
    <row r="58" spans="1:8" x14ac:dyDescent="0.2">
      <c r="A58" s="45" t="s">
        <v>86</v>
      </c>
      <c r="B58" s="45" t="s">
        <v>307</v>
      </c>
      <c r="C58" s="45" t="s">
        <v>306</v>
      </c>
      <c r="D58" s="44">
        <v>24303</v>
      </c>
      <c r="E58" s="44">
        <v>24827</v>
      </c>
      <c r="F58" s="67">
        <f t="shared" si="2"/>
        <v>1.0215611241410525</v>
      </c>
      <c r="G58" s="44">
        <v>25975</v>
      </c>
      <c r="H58" s="62">
        <f t="shared" si="3"/>
        <v>1.0687980907706867</v>
      </c>
    </row>
    <row r="59" spans="1:8" x14ac:dyDescent="0.2">
      <c r="A59" s="45" t="s">
        <v>86</v>
      </c>
      <c r="B59" s="45" t="s">
        <v>305</v>
      </c>
      <c r="C59" s="45" t="s">
        <v>304</v>
      </c>
      <c r="D59" s="44">
        <v>19529</v>
      </c>
      <c r="E59" s="44">
        <v>23669</v>
      </c>
      <c r="F59" s="67">
        <f t="shared" si="2"/>
        <v>1.21199242152696</v>
      </c>
      <c r="G59" s="44">
        <v>29010</v>
      </c>
      <c r="H59" s="62">
        <f t="shared" si="3"/>
        <v>1.4854831276563061</v>
      </c>
    </row>
    <row r="60" spans="1:8" x14ac:dyDescent="0.2">
      <c r="A60" s="45" t="s">
        <v>86</v>
      </c>
      <c r="B60" s="45" t="s">
        <v>303</v>
      </c>
      <c r="C60" s="45" t="s">
        <v>302</v>
      </c>
      <c r="D60" s="44">
        <v>24939</v>
      </c>
      <c r="E60" s="44">
        <v>26483</v>
      </c>
      <c r="F60" s="67">
        <f t="shared" si="2"/>
        <v>1.0619110629937047</v>
      </c>
      <c r="G60" s="44">
        <v>28507</v>
      </c>
      <c r="H60" s="62">
        <f t="shared" si="3"/>
        <v>1.1430690885761257</v>
      </c>
    </row>
    <row r="61" spans="1:8" x14ac:dyDescent="0.2">
      <c r="A61" s="45" t="s">
        <v>86</v>
      </c>
      <c r="B61" s="45" t="s">
        <v>299</v>
      </c>
      <c r="C61" s="45" t="s">
        <v>298</v>
      </c>
      <c r="D61" s="44">
        <v>27970</v>
      </c>
      <c r="E61" s="44">
        <v>28186</v>
      </c>
      <c r="F61" s="67">
        <f t="shared" si="2"/>
        <v>1.0077225598855917</v>
      </c>
      <c r="G61" s="44">
        <v>29572</v>
      </c>
      <c r="H61" s="62">
        <f t="shared" si="3"/>
        <v>1.057275652484805</v>
      </c>
    </row>
    <row r="62" spans="1:8" x14ac:dyDescent="0.2">
      <c r="A62" s="45" t="s">
        <v>86</v>
      </c>
      <c r="B62" s="45" t="s">
        <v>297</v>
      </c>
      <c r="C62" s="45" t="s">
        <v>296</v>
      </c>
      <c r="D62" s="44">
        <v>40889</v>
      </c>
      <c r="E62" s="44">
        <v>40982</v>
      </c>
      <c r="F62" s="67">
        <f t="shared" si="2"/>
        <v>1.0022744503411676</v>
      </c>
      <c r="G62" s="44">
        <v>46331</v>
      </c>
      <c r="H62" s="62">
        <f t="shared" si="3"/>
        <v>1.1330920296412239</v>
      </c>
    </row>
    <row r="63" spans="1:8" x14ac:dyDescent="0.2">
      <c r="A63" s="45" t="s">
        <v>86</v>
      </c>
      <c r="B63" s="45" t="s">
        <v>295</v>
      </c>
      <c r="C63" s="45" t="s">
        <v>294</v>
      </c>
      <c r="D63" s="44">
        <v>33067</v>
      </c>
      <c r="E63" s="44">
        <v>34189</v>
      </c>
      <c r="F63" s="67">
        <f t="shared" si="2"/>
        <v>1.0339311095654278</v>
      </c>
      <c r="G63" s="44">
        <v>33991</v>
      </c>
      <c r="H63" s="62">
        <f t="shared" si="3"/>
        <v>1.0279432667009405</v>
      </c>
    </row>
    <row r="64" spans="1:8" x14ac:dyDescent="0.2">
      <c r="A64" s="45" t="s">
        <v>86</v>
      </c>
      <c r="B64" s="45" t="s">
        <v>293</v>
      </c>
      <c r="C64" s="45" t="s">
        <v>292</v>
      </c>
      <c r="D64" s="44">
        <v>20922</v>
      </c>
      <c r="E64" s="44">
        <v>20488</v>
      </c>
      <c r="F64" s="67">
        <f t="shared" si="2"/>
        <v>0.9792562852499761</v>
      </c>
      <c r="G64" s="44">
        <v>20814</v>
      </c>
      <c r="H64" s="62">
        <f t="shared" si="3"/>
        <v>0.99483796960137649</v>
      </c>
    </row>
    <row r="65" spans="1:8" x14ac:dyDescent="0.2">
      <c r="A65" s="45" t="s">
        <v>86</v>
      </c>
      <c r="B65" s="45" t="s">
        <v>291</v>
      </c>
      <c r="C65" s="45" t="s">
        <v>290</v>
      </c>
      <c r="D65" s="44">
        <v>26760</v>
      </c>
      <c r="E65" s="44">
        <v>22167</v>
      </c>
      <c r="F65" s="67">
        <f t="shared" si="2"/>
        <v>0.82836322869955159</v>
      </c>
      <c r="G65" s="44">
        <v>22979</v>
      </c>
      <c r="H65" s="62">
        <f t="shared" si="3"/>
        <v>0.85870702541106125</v>
      </c>
    </row>
    <row r="66" spans="1:8" x14ac:dyDescent="0.2">
      <c r="A66" s="45" t="s">
        <v>86</v>
      </c>
      <c r="B66" s="45" t="s">
        <v>289</v>
      </c>
      <c r="C66" s="45" t="s">
        <v>288</v>
      </c>
      <c r="D66" s="44">
        <v>20667</v>
      </c>
      <c r="E66" s="44">
        <v>20250</v>
      </c>
      <c r="F66" s="67">
        <f t="shared" si="2"/>
        <v>0.97982290608215994</v>
      </c>
      <c r="G66" s="44">
        <v>20821</v>
      </c>
      <c r="H66" s="62">
        <f t="shared" si="3"/>
        <v>1.0074514927178595</v>
      </c>
    </row>
    <row r="67" spans="1:8" x14ac:dyDescent="0.2">
      <c r="A67" s="45" t="s">
        <v>86</v>
      </c>
      <c r="B67" s="45" t="s">
        <v>287</v>
      </c>
      <c r="C67" s="45" t="s">
        <v>286</v>
      </c>
      <c r="D67" s="44">
        <v>26176</v>
      </c>
      <c r="E67" s="44">
        <v>25196</v>
      </c>
      <c r="F67" s="67">
        <f t="shared" si="2"/>
        <v>0.96256112469437649</v>
      </c>
      <c r="G67" s="44">
        <v>25110</v>
      </c>
      <c r="H67" s="62">
        <f t="shared" si="3"/>
        <v>0.95927567237163813</v>
      </c>
    </row>
    <row r="68" spans="1:8" x14ac:dyDescent="0.2">
      <c r="A68" s="45" t="s">
        <v>86</v>
      </c>
      <c r="B68" s="45" t="s">
        <v>281</v>
      </c>
      <c r="C68" s="45" t="s">
        <v>280</v>
      </c>
      <c r="D68" s="44">
        <v>23878</v>
      </c>
      <c r="E68" s="44">
        <v>24464</v>
      </c>
      <c r="F68" s="67">
        <f t="shared" si="2"/>
        <v>1.0245414188793032</v>
      </c>
      <c r="G68" s="44">
        <v>23369</v>
      </c>
      <c r="H68" s="62">
        <f t="shared" si="3"/>
        <v>0.97868330680961557</v>
      </c>
    </row>
    <row r="69" spans="1:8" x14ac:dyDescent="0.2">
      <c r="A69" s="45" t="s">
        <v>86</v>
      </c>
      <c r="B69" s="45" t="s">
        <v>279</v>
      </c>
      <c r="C69" s="45" t="s">
        <v>278</v>
      </c>
      <c r="D69" s="44">
        <v>29561</v>
      </c>
      <c r="E69" s="44">
        <v>27863</v>
      </c>
      <c r="F69" s="67">
        <f t="shared" si="2"/>
        <v>0.94255945333378433</v>
      </c>
      <c r="G69" s="44">
        <v>28649</v>
      </c>
      <c r="H69" s="62">
        <f t="shared" si="3"/>
        <v>0.9691485403064849</v>
      </c>
    </row>
    <row r="70" spans="1:8" x14ac:dyDescent="0.2">
      <c r="A70" s="45" t="s">
        <v>86</v>
      </c>
      <c r="B70" s="45" t="s">
        <v>277</v>
      </c>
      <c r="C70" s="45" t="s">
        <v>276</v>
      </c>
      <c r="D70" s="44">
        <v>26555</v>
      </c>
      <c r="E70" s="44">
        <v>25067</v>
      </c>
      <c r="F70" s="67">
        <f t="shared" si="2"/>
        <v>0.94396535492374323</v>
      </c>
      <c r="G70" s="44">
        <v>25219</v>
      </c>
      <c r="H70" s="62">
        <f t="shared" si="3"/>
        <v>0.94968932404443607</v>
      </c>
    </row>
    <row r="71" spans="1:8" x14ac:dyDescent="0.2">
      <c r="A71" s="45" t="s">
        <v>86</v>
      </c>
      <c r="B71" s="45" t="s">
        <v>275</v>
      </c>
      <c r="C71" s="45" t="s">
        <v>274</v>
      </c>
      <c r="D71" s="44">
        <v>30322</v>
      </c>
      <c r="E71" s="44">
        <v>31508</v>
      </c>
      <c r="F71" s="67">
        <f t="shared" si="2"/>
        <v>1.0391135149396478</v>
      </c>
      <c r="G71" s="44">
        <v>38625</v>
      </c>
      <c r="H71" s="62">
        <f t="shared" si="3"/>
        <v>1.2738275839324582</v>
      </c>
    </row>
    <row r="72" spans="1:8" x14ac:dyDescent="0.2">
      <c r="A72" s="45" t="s">
        <v>86</v>
      </c>
      <c r="B72" s="45" t="s">
        <v>273</v>
      </c>
      <c r="C72" s="45" t="s">
        <v>272</v>
      </c>
      <c r="D72" s="44">
        <v>36038</v>
      </c>
      <c r="E72" s="44">
        <v>37329</v>
      </c>
      <c r="F72" s="67">
        <f t="shared" si="2"/>
        <v>1.0358232976302792</v>
      </c>
      <c r="G72" s="44">
        <v>45735</v>
      </c>
      <c r="H72" s="62">
        <f t="shared" si="3"/>
        <v>1.2690770852988511</v>
      </c>
    </row>
    <row r="73" spans="1:8" x14ac:dyDescent="0.2">
      <c r="A73" s="45" t="s">
        <v>86</v>
      </c>
      <c r="B73" s="45" t="s">
        <v>269</v>
      </c>
      <c r="C73" s="45" t="s">
        <v>268</v>
      </c>
      <c r="D73" s="44">
        <v>21110</v>
      </c>
      <c r="E73" s="44">
        <v>22275</v>
      </c>
      <c r="F73" s="67">
        <f t="shared" si="2"/>
        <v>1.0551871151113217</v>
      </c>
      <c r="G73" s="44">
        <v>21040</v>
      </c>
      <c r="H73" s="62">
        <f t="shared" si="3"/>
        <v>0.99668403600189481</v>
      </c>
    </row>
    <row r="74" spans="1:8" x14ac:dyDescent="0.2">
      <c r="A74" s="45" t="s">
        <v>86</v>
      </c>
      <c r="B74" s="45" t="s">
        <v>267</v>
      </c>
      <c r="C74" s="45" t="s">
        <v>266</v>
      </c>
      <c r="D74" s="44">
        <v>30968</v>
      </c>
      <c r="E74" s="44">
        <v>29187</v>
      </c>
      <c r="F74" s="67">
        <f t="shared" si="2"/>
        <v>0.94248902092482567</v>
      </c>
      <c r="G74" s="44">
        <v>31880</v>
      </c>
      <c r="H74" s="62">
        <f t="shared" si="3"/>
        <v>1.0294497545853785</v>
      </c>
    </row>
    <row r="75" spans="1:8" x14ac:dyDescent="0.2">
      <c r="A75" s="45" t="s">
        <v>86</v>
      </c>
      <c r="B75" s="45" t="s">
        <v>265</v>
      </c>
      <c r="C75" s="45" t="s">
        <v>264</v>
      </c>
      <c r="D75" s="44">
        <v>23098</v>
      </c>
      <c r="E75" s="44">
        <v>23185</v>
      </c>
      <c r="F75" s="67">
        <f t="shared" si="2"/>
        <v>1.0037665598753138</v>
      </c>
      <c r="G75" s="44">
        <v>26110</v>
      </c>
      <c r="H75" s="62">
        <f t="shared" si="3"/>
        <v>1.1304009005108668</v>
      </c>
    </row>
    <row r="76" spans="1:8" x14ac:dyDescent="0.2">
      <c r="A76" s="45" t="s">
        <v>86</v>
      </c>
      <c r="B76" s="45" t="s">
        <v>263</v>
      </c>
      <c r="C76" s="45" t="s">
        <v>262</v>
      </c>
      <c r="D76" s="44">
        <v>31956</v>
      </c>
      <c r="E76" s="44">
        <v>32695</v>
      </c>
      <c r="F76" s="67">
        <f t="shared" si="2"/>
        <v>1.0231255476279886</v>
      </c>
      <c r="G76" s="44">
        <v>31890</v>
      </c>
      <c r="H76" s="62">
        <f t="shared" si="3"/>
        <v>0.99793466015771681</v>
      </c>
    </row>
    <row r="77" spans="1:8" x14ac:dyDescent="0.2">
      <c r="A77" s="45" t="s">
        <v>86</v>
      </c>
      <c r="B77" s="45" t="s">
        <v>261</v>
      </c>
      <c r="C77" s="45" t="s">
        <v>260</v>
      </c>
      <c r="D77" s="44">
        <v>32425</v>
      </c>
      <c r="E77" s="44">
        <v>32520</v>
      </c>
      <c r="F77" s="67">
        <f t="shared" si="2"/>
        <v>1.002929838087895</v>
      </c>
      <c r="G77" s="44">
        <v>36477</v>
      </c>
      <c r="H77" s="62">
        <f t="shared" si="3"/>
        <v>1.1249653045489592</v>
      </c>
    </row>
    <row r="78" spans="1:8" x14ac:dyDescent="0.2">
      <c r="A78" s="45" t="s">
        <v>86</v>
      </c>
      <c r="B78" s="45" t="s">
        <v>259</v>
      </c>
      <c r="C78" s="45" t="s">
        <v>258</v>
      </c>
      <c r="D78" s="44">
        <v>25105</v>
      </c>
      <c r="E78" s="44">
        <v>26828</v>
      </c>
      <c r="F78" s="67">
        <f t="shared" si="2"/>
        <v>1.0686317466640112</v>
      </c>
      <c r="G78" s="44">
        <v>29492</v>
      </c>
      <c r="H78" s="62">
        <f t="shared" si="3"/>
        <v>1.1747460665206135</v>
      </c>
    </row>
    <row r="79" spans="1:8" x14ac:dyDescent="0.2">
      <c r="A79" s="45" t="s">
        <v>86</v>
      </c>
      <c r="B79" s="45" t="s">
        <v>255</v>
      </c>
      <c r="C79" s="45" t="s">
        <v>254</v>
      </c>
      <c r="D79" s="44">
        <v>37257</v>
      </c>
      <c r="E79" s="44">
        <v>36469</v>
      </c>
      <c r="F79" s="67">
        <f t="shared" si="2"/>
        <v>0.97884961215342081</v>
      </c>
      <c r="G79" s="44">
        <v>36747</v>
      </c>
      <c r="H79" s="62">
        <f t="shared" si="3"/>
        <v>0.98631129720589417</v>
      </c>
    </row>
    <row r="80" spans="1:8" x14ac:dyDescent="0.2">
      <c r="A80" s="45" t="s">
        <v>86</v>
      </c>
      <c r="B80" s="45" t="s">
        <v>253</v>
      </c>
      <c r="C80" s="45" t="s">
        <v>252</v>
      </c>
      <c r="D80" s="44">
        <v>31848</v>
      </c>
      <c r="E80" s="44">
        <v>34065</v>
      </c>
      <c r="F80" s="67">
        <f t="shared" si="2"/>
        <v>1.0696119065561416</v>
      </c>
      <c r="G80" s="44">
        <v>37095</v>
      </c>
      <c r="H80" s="62">
        <f t="shared" si="3"/>
        <v>1.1647513187641296</v>
      </c>
    </row>
    <row r="81" spans="1:8" x14ac:dyDescent="0.2">
      <c r="A81" s="45" t="s">
        <v>86</v>
      </c>
      <c r="B81" s="45" t="s">
        <v>249</v>
      </c>
      <c r="C81" s="45" t="s">
        <v>248</v>
      </c>
      <c r="D81" s="44">
        <v>25277</v>
      </c>
      <c r="E81" s="44">
        <v>28718</v>
      </c>
      <c r="F81" s="67">
        <f t="shared" si="2"/>
        <v>1.1361316611939709</v>
      </c>
      <c r="G81" s="44">
        <v>31780</v>
      </c>
      <c r="H81" s="62">
        <f t="shared" si="3"/>
        <v>1.2572694544447522</v>
      </c>
    </row>
    <row r="82" spans="1:8" x14ac:dyDescent="0.2">
      <c r="A82" s="45" t="s">
        <v>86</v>
      </c>
      <c r="B82" s="45" t="s">
        <v>247</v>
      </c>
      <c r="C82" s="45" t="s">
        <v>246</v>
      </c>
      <c r="D82" s="44">
        <v>22368</v>
      </c>
      <c r="E82" s="44">
        <v>23034</v>
      </c>
      <c r="F82" s="67">
        <f t="shared" si="2"/>
        <v>1.029774678111588</v>
      </c>
      <c r="G82" s="44">
        <v>22834</v>
      </c>
      <c r="H82" s="62">
        <f t="shared" si="3"/>
        <v>1.0208333333333333</v>
      </c>
    </row>
    <row r="83" spans="1:8" x14ac:dyDescent="0.2">
      <c r="A83" s="45" t="s">
        <v>86</v>
      </c>
      <c r="B83" s="45" t="s">
        <v>245</v>
      </c>
      <c r="C83" s="45" t="s">
        <v>244</v>
      </c>
      <c r="D83" s="44">
        <v>24542</v>
      </c>
      <c r="E83" s="44">
        <v>25014</v>
      </c>
      <c r="F83" s="67">
        <f t="shared" si="2"/>
        <v>1.0192323364029012</v>
      </c>
      <c r="G83" s="44">
        <v>24596</v>
      </c>
      <c r="H83" s="62">
        <f t="shared" si="3"/>
        <v>1.0022003096732133</v>
      </c>
    </row>
    <row r="84" spans="1:8" x14ac:dyDescent="0.2">
      <c r="A84" s="45" t="s">
        <v>86</v>
      </c>
      <c r="B84" s="45" t="s">
        <v>241</v>
      </c>
      <c r="C84" s="45" t="s">
        <v>240</v>
      </c>
      <c r="D84" s="44">
        <v>24198</v>
      </c>
      <c r="E84" s="44">
        <v>24791</v>
      </c>
      <c r="F84" s="67">
        <f t="shared" si="2"/>
        <v>1.0245061575336805</v>
      </c>
      <c r="G84" s="44">
        <v>26009</v>
      </c>
      <c r="H84" s="62">
        <f t="shared" si="3"/>
        <v>1.0748408959418134</v>
      </c>
    </row>
    <row r="85" spans="1:8" x14ac:dyDescent="0.2">
      <c r="A85" s="45" t="s">
        <v>86</v>
      </c>
      <c r="B85" s="45" t="s">
        <v>239</v>
      </c>
      <c r="C85" s="45" t="s">
        <v>238</v>
      </c>
      <c r="D85" s="44">
        <v>35569</v>
      </c>
      <c r="E85" s="44">
        <v>32735</v>
      </c>
      <c r="F85" s="67">
        <f t="shared" si="2"/>
        <v>0.92032387753380751</v>
      </c>
      <c r="G85" s="44">
        <v>36004</v>
      </c>
      <c r="H85" s="62">
        <f t="shared" si="3"/>
        <v>1.0122297506255447</v>
      </c>
    </row>
    <row r="86" spans="1:8" x14ac:dyDescent="0.2">
      <c r="A86" s="45" t="s">
        <v>86</v>
      </c>
      <c r="B86" s="45" t="s">
        <v>237</v>
      </c>
      <c r="C86" s="45" t="s">
        <v>236</v>
      </c>
      <c r="D86" s="44">
        <v>17774</v>
      </c>
      <c r="E86" s="44">
        <v>21427</v>
      </c>
      <c r="F86" s="67">
        <f t="shared" si="2"/>
        <v>1.2055249240463599</v>
      </c>
      <c r="G86" s="44">
        <v>26609</v>
      </c>
      <c r="H86" s="62">
        <f t="shared" si="3"/>
        <v>1.4970743783053899</v>
      </c>
    </row>
    <row r="87" spans="1:8" x14ac:dyDescent="0.2">
      <c r="A87" s="45" t="s">
        <v>86</v>
      </c>
      <c r="B87" s="45" t="s">
        <v>235</v>
      </c>
      <c r="C87" s="45" t="s">
        <v>234</v>
      </c>
      <c r="D87" s="44">
        <v>34701</v>
      </c>
      <c r="E87" s="44">
        <v>34951</v>
      </c>
      <c r="F87" s="67">
        <f t="shared" si="2"/>
        <v>1.0072044033313161</v>
      </c>
      <c r="G87" s="44">
        <v>35627</v>
      </c>
      <c r="H87" s="62">
        <f t="shared" si="3"/>
        <v>1.0266851099391949</v>
      </c>
    </row>
    <row r="88" spans="1:8" x14ac:dyDescent="0.2">
      <c r="A88" s="51" t="s">
        <v>88</v>
      </c>
      <c r="B88" s="51" t="s">
        <v>233</v>
      </c>
      <c r="C88" s="51" t="s">
        <v>460</v>
      </c>
      <c r="D88" s="57">
        <v>48760</v>
      </c>
      <c r="E88" s="57">
        <v>56036</v>
      </c>
      <c r="F88" s="65">
        <f t="shared" si="2"/>
        <v>1.1492206726825267</v>
      </c>
      <c r="G88" s="57">
        <v>60193</v>
      </c>
      <c r="H88" s="60">
        <f t="shared" si="3"/>
        <v>1.2344749794913863</v>
      </c>
    </row>
    <row r="89" spans="1:8" x14ac:dyDescent="0.2">
      <c r="A89" s="45" t="s">
        <v>86</v>
      </c>
      <c r="B89" s="45" t="s">
        <v>175</v>
      </c>
      <c r="C89" s="45" t="s">
        <v>174</v>
      </c>
      <c r="D89" s="44">
        <v>51619</v>
      </c>
      <c r="E89" s="44">
        <v>51408</v>
      </c>
      <c r="F89" s="67">
        <f t="shared" ref="F89:F123" si="4">E89/D89</f>
        <v>0.99591235785272869</v>
      </c>
      <c r="G89" s="44">
        <v>55672</v>
      </c>
      <c r="H89" s="62">
        <f t="shared" ref="H89:H123" si="5">G89/D89</f>
        <v>1.0785176001084873</v>
      </c>
    </row>
    <row r="90" spans="1:8" x14ac:dyDescent="0.2">
      <c r="A90" s="45" t="s">
        <v>86</v>
      </c>
      <c r="B90" s="45" t="s">
        <v>173</v>
      </c>
      <c r="C90" s="45" t="s">
        <v>172</v>
      </c>
      <c r="D90" s="44">
        <v>34494</v>
      </c>
      <c r="E90" s="44">
        <v>36366</v>
      </c>
      <c r="F90" s="67">
        <f t="shared" si="4"/>
        <v>1.0542703078796312</v>
      </c>
      <c r="G90" s="44">
        <v>35686</v>
      </c>
      <c r="H90" s="62">
        <f t="shared" si="5"/>
        <v>1.0345567345045514</v>
      </c>
    </row>
    <row r="91" spans="1:8" x14ac:dyDescent="0.2">
      <c r="A91" s="45" t="s">
        <v>86</v>
      </c>
      <c r="B91" s="45" t="s">
        <v>171</v>
      </c>
      <c r="C91" s="45" t="s">
        <v>170</v>
      </c>
      <c r="D91" s="44">
        <v>36812</v>
      </c>
      <c r="E91" s="44">
        <v>38578</v>
      </c>
      <c r="F91" s="67">
        <f t="shared" si="4"/>
        <v>1.0479734869064437</v>
      </c>
      <c r="G91" s="44">
        <v>39864</v>
      </c>
      <c r="H91" s="62">
        <f t="shared" si="5"/>
        <v>1.0829077474736499</v>
      </c>
    </row>
    <row r="92" spans="1:8" x14ac:dyDescent="0.2">
      <c r="A92" s="45" t="s">
        <v>86</v>
      </c>
      <c r="B92" s="45" t="s">
        <v>169</v>
      </c>
      <c r="C92" s="45" t="s">
        <v>168</v>
      </c>
      <c r="D92" s="44">
        <v>39443</v>
      </c>
      <c r="E92" s="44">
        <v>50873</v>
      </c>
      <c r="F92" s="67">
        <f t="shared" si="4"/>
        <v>1.2897852597419059</v>
      </c>
      <c r="G92" s="44">
        <v>57146</v>
      </c>
      <c r="H92" s="62">
        <f t="shared" si="5"/>
        <v>1.4488248865451412</v>
      </c>
    </row>
    <row r="93" spans="1:8" x14ac:dyDescent="0.2">
      <c r="A93" s="45" t="s">
        <v>86</v>
      </c>
      <c r="B93" s="45" t="s">
        <v>167</v>
      </c>
      <c r="C93" s="45" t="s">
        <v>166</v>
      </c>
      <c r="D93" s="44">
        <v>27906</v>
      </c>
      <c r="E93" s="44">
        <v>38563</v>
      </c>
      <c r="F93" s="67">
        <f t="shared" si="4"/>
        <v>1.3818891994553142</v>
      </c>
      <c r="G93" s="44">
        <v>56977</v>
      </c>
      <c r="H93" s="62">
        <f t="shared" si="5"/>
        <v>2.0417472944886406</v>
      </c>
    </row>
    <row r="94" spans="1:8" x14ac:dyDescent="0.2">
      <c r="A94" s="45" t="s">
        <v>86</v>
      </c>
      <c r="B94" s="45" t="s">
        <v>163</v>
      </c>
      <c r="C94" s="45" t="s">
        <v>162</v>
      </c>
      <c r="D94" s="44">
        <v>29640</v>
      </c>
      <c r="E94" s="44">
        <v>30031</v>
      </c>
      <c r="F94" s="67">
        <f t="shared" si="4"/>
        <v>1.0131916329284751</v>
      </c>
      <c r="G94" s="44">
        <v>40435</v>
      </c>
      <c r="H94" s="62">
        <f t="shared" si="5"/>
        <v>1.3642037786774628</v>
      </c>
    </row>
    <row r="95" spans="1:8" x14ac:dyDescent="0.2">
      <c r="A95" s="45" t="s">
        <v>86</v>
      </c>
      <c r="B95" s="45" t="s">
        <v>161</v>
      </c>
      <c r="C95" s="45" t="s">
        <v>160</v>
      </c>
      <c r="D95" s="44">
        <v>21465</v>
      </c>
      <c r="E95" s="44">
        <v>21416</v>
      </c>
      <c r="F95" s="67">
        <f t="shared" si="4"/>
        <v>0.99771721406941538</v>
      </c>
      <c r="G95" s="44">
        <v>22795</v>
      </c>
      <c r="H95" s="62">
        <f t="shared" si="5"/>
        <v>1.061961332401584</v>
      </c>
    </row>
    <row r="96" spans="1:8" x14ac:dyDescent="0.2">
      <c r="A96" s="45" t="s">
        <v>86</v>
      </c>
      <c r="B96" s="45" t="s">
        <v>159</v>
      </c>
      <c r="C96" s="45" t="s">
        <v>158</v>
      </c>
      <c r="D96" s="44">
        <v>43046</v>
      </c>
      <c r="E96" s="44">
        <v>44535</v>
      </c>
      <c r="F96" s="67">
        <f t="shared" si="4"/>
        <v>1.0345909027551921</v>
      </c>
      <c r="G96" s="44">
        <v>47938</v>
      </c>
      <c r="H96" s="62">
        <f t="shared" si="5"/>
        <v>1.1136458672118199</v>
      </c>
    </row>
    <row r="97" spans="1:8" x14ac:dyDescent="0.2">
      <c r="A97" s="45" t="s">
        <v>86</v>
      </c>
      <c r="B97" s="45" t="s">
        <v>157</v>
      </c>
      <c r="C97" s="45" t="s">
        <v>156</v>
      </c>
      <c r="D97" s="44">
        <v>46871</v>
      </c>
      <c r="E97" s="44">
        <v>49174</v>
      </c>
      <c r="F97" s="67">
        <f t="shared" si="4"/>
        <v>1.0491348595080114</v>
      </c>
      <c r="G97" s="44">
        <v>39846</v>
      </c>
      <c r="H97" s="62">
        <f t="shared" si="5"/>
        <v>0.85012054361972222</v>
      </c>
    </row>
    <row r="98" spans="1:8" x14ac:dyDescent="0.2">
      <c r="A98" s="45" t="s">
        <v>86</v>
      </c>
      <c r="B98" s="45" t="s">
        <v>155</v>
      </c>
      <c r="C98" s="45" t="s">
        <v>154</v>
      </c>
      <c r="D98" s="44">
        <v>26310</v>
      </c>
      <c r="E98" s="44">
        <v>26799</v>
      </c>
      <c r="F98" s="67">
        <f t="shared" si="4"/>
        <v>1.0185860889395668</v>
      </c>
      <c r="G98" s="44">
        <v>29579</v>
      </c>
      <c r="H98" s="62">
        <f t="shared" si="5"/>
        <v>1.1242493348536677</v>
      </c>
    </row>
    <row r="99" spans="1:8" x14ac:dyDescent="0.2">
      <c r="A99" s="45" t="s">
        <v>86</v>
      </c>
      <c r="B99" s="45" t="s">
        <v>153</v>
      </c>
      <c r="C99" s="45" t="s">
        <v>152</v>
      </c>
      <c r="D99" s="44">
        <v>29534</v>
      </c>
      <c r="E99" s="44">
        <v>32323</v>
      </c>
      <c r="F99" s="67">
        <f t="shared" si="4"/>
        <v>1.0944335342317328</v>
      </c>
      <c r="G99" s="44">
        <v>30655</v>
      </c>
      <c r="H99" s="62">
        <f t="shared" si="5"/>
        <v>1.0379562538091691</v>
      </c>
    </row>
    <row r="100" spans="1:8" x14ac:dyDescent="0.2">
      <c r="A100" s="45" t="s">
        <v>86</v>
      </c>
      <c r="B100" s="45" t="s">
        <v>149</v>
      </c>
      <c r="C100" s="45" t="s">
        <v>148</v>
      </c>
      <c r="D100" s="44">
        <v>28651</v>
      </c>
      <c r="E100" s="44">
        <v>32216</v>
      </c>
      <c r="F100" s="67">
        <f t="shared" si="4"/>
        <v>1.1244284667201843</v>
      </c>
      <c r="G100" s="44">
        <v>37044</v>
      </c>
      <c r="H100" s="62">
        <f t="shared" si="5"/>
        <v>1.2929391644270707</v>
      </c>
    </row>
    <row r="101" spans="1:8" x14ac:dyDescent="0.2">
      <c r="A101" s="45" t="s">
        <v>86</v>
      </c>
      <c r="B101" s="45" t="s">
        <v>147</v>
      </c>
      <c r="C101" s="45" t="s">
        <v>146</v>
      </c>
      <c r="D101" s="44">
        <v>31567</v>
      </c>
      <c r="E101" s="44">
        <v>39259</v>
      </c>
      <c r="F101" s="67">
        <f t="shared" si="4"/>
        <v>1.2436721893116229</v>
      </c>
      <c r="G101" s="44">
        <v>41109</v>
      </c>
      <c r="H101" s="62">
        <f t="shared" si="5"/>
        <v>1.3022776950612982</v>
      </c>
    </row>
    <row r="102" spans="1:8" x14ac:dyDescent="0.2">
      <c r="A102" s="45" t="s">
        <v>86</v>
      </c>
      <c r="B102" s="45" t="s">
        <v>145</v>
      </c>
      <c r="C102" s="45" t="s">
        <v>144</v>
      </c>
      <c r="D102" s="44">
        <v>20509</v>
      </c>
      <c r="E102" s="44">
        <v>22527</v>
      </c>
      <c r="F102" s="67">
        <f t="shared" si="4"/>
        <v>1.0983958262226339</v>
      </c>
      <c r="G102" s="44">
        <v>23866</v>
      </c>
      <c r="H102" s="62">
        <f t="shared" si="5"/>
        <v>1.1636842361889903</v>
      </c>
    </row>
    <row r="103" spans="1:8" x14ac:dyDescent="0.2">
      <c r="A103" s="45" t="s">
        <v>86</v>
      </c>
      <c r="B103" s="45" t="s">
        <v>143</v>
      </c>
      <c r="C103" s="45" t="s">
        <v>142</v>
      </c>
      <c r="D103" s="44">
        <v>26008</v>
      </c>
      <c r="E103" s="44">
        <v>29394</v>
      </c>
      <c r="F103" s="67">
        <f t="shared" si="4"/>
        <v>1.1301907105505997</v>
      </c>
      <c r="G103" s="44">
        <v>29972</v>
      </c>
      <c r="H103" s="62">
        <f t="shared" si="5"/>
        <v>1.1524146416487235</v>
      </c>
    </row>
    <row r="104" spans="1:8" x14ac:dyDescent="0.2">
      <c r="A104" s="45" t="s">
        <v>86</v>
      </c>
      <c r="B104" s="45" t="s">
        <v>141</v>
      </c>
      <c r="C104" s="45" t="s">
        <v>140</v>
      </c>
      <c r="D104" s="44">
        <v>24228</v>
      </c>
      <c r="E104" s="44">
        <v>25943</v>
      </c>
      <c r="F104" s="67">
        <f t="shared" si="4"/>
        <v>1.0707858675912167</v>
      </c>
      <c r="G104" s="44">
        <v>35913</v>
      </c>
      <c r="H104" s="62">
        <f t="shared" si="5"/>
        <v>1.4822932144626053</v>
      </c>
    </row>
    <row r="105" spans="1:8" x14ac:dyDescent="0.2">
      <c r="A105" s="45" t="s">
        <v>86</v>
      </c>
      <c r="B105" s="45" t="s">
        <v>139</v>
      </c>
      <c r="C105" s="45" t="s">
        <v>138</v>
      </c>
      <c r="D105" s="44">
        <v>37209</v>
      </c>
      <c r="E105" s="44">
        <v>44624</v>
      </c>
      <c r="F105" s="67">
        <f t="shared" si="4"/>
        <v>1.1992797441479213</v>
      </c>
      <c r="G105" s="44">
        <v>50614</v>
      </c>
      <c r="H105" s="62">
        <f t="shared" si="5"/>
        <v>1.3602623021312048</v>
      </c>
    </row>
    <row r="106" spans="1:8" x14ac:dyDescent="0.2">
      <c r="A106" s="45" t="s">
        <v>86</v>
      </c>
      <c r="B106" s="45" t="s">
        <v>135</v>
      </c>
      <c r="C106" s="45" t="s">
        <v>134</v>
      </c>
      <c r="D106" s="44">
        <v>21670</v>
      </c>
      <c r="E106" s="44">
        <v>24134</v>
      </c>
      <c r="F106" s="67">
        <f t="shared" si="4"/>
        <v>1.1137055837563452</v>
      </c>
      <c r="G106" s="44">
        <v>26429</v>
      </c>
      <c r="H106" s="62">
        <f t="shared" si="5"/>
        <v>1.2196123673281034</v>
      </c>
    </row>
    <row r="107" spans="1:8" x14ac:dyDescent="0.2">
      <c r="A107" s="45" t="s">
        <v>86</v>
      </c>
      <c r="B107" s="45" t="s">
        <v>133</v>
      </c>
      <c r="C107" s="45" t="s">
        <v>132</v>
      </c>
      <c r="D107" s="44">
        <v>28231</v>
      </c>
      <c r="E107" s="44">
        <v>27457</v>
      </c>
      <c r="F107" s="67">
        <f t="shared" si="4"/>
        <v>0.97258333038149547</v>
      </c>
      <c r="G107" s="44">
        <v>29847</v>
      </c>
      <c r="H107" s="62">
        <f t="shared" si="5"/>
        <v>1.0572420388934149</v>
      </c>
    </row>
    <row r="108" spans="1:8" x14ac:dyDescent="0.2">
      <c r="A108" s="45" t="s">
        <v>86</v>
      </c>
      <c r="B108" s="45" t="s">
        <v>131</v>
      </c>
      <c r="C108" s="45" t="s">
        <v>130</v>
      </c>
      <c r="D108" s="44">
        <v>24270</v>
      </c>
      <c r="E108" s="44">
        <v>24446</v>
      </c>
      <c r="F108" s="67">
        <f t="shared" si="4"/>
        <v>1.0072517511330861</v>
      </c>
      <c r="G108" s="44">
        <v>24241</v>
      </c>
      <c r="H108" s="62">
        <f t="shared" si="5"/>
        <v>0.99880510918829835</v>
      </c>
    </row>
    <row r="109" spans="1:8" x14ac:dyDescent="0.2">
      <c r="A109" s="45" t="s">
        <v>86</v>
      </c>
      <c r="B109" s="45" t="s">
        <v>129</v>
      </c>
      <c r="C109" s="45" t="s">
        <v>128</v>
      </c>
      <c r="D109" s="44">
        <v>29843</v>
      </c>
      <c r="E109" s="44">
        <v>29963</v>
      </c>
      <c r="F109" s="67">
        <f t="shared" si="4"/>
        <v>1.0040210434607781</v>
      </c>
      <c r="G109" s="44">
        <v>30554</v>
      </c>
      <c r="H109" s="62">
        <f t="shared" si="5"/>
        <v>1.0238246825051101</v>
      </c>
    </row>
    <row r="110" spans="1:8" x14ac:dyDescent="0.2">
      <c r="A110" s="45" t="s">
        <v>86</v>
      </c>
      <c r="B110" s="45" t="s">
        <v>127</v>
      </c>
      <c r="C110" s="45" t="s">
        <v>126</v>
      </c>
      <c r="D110" s="44">
        <v>34462</v>
      </c>
      <c r="E110" s="44">
        <v>35667</v>
      </c>
      <c r="F110" s="67">
        <f t="shared" si="4"/>
        <v>1.0349660495618362</v>
      </c>
      <c r="G110" s="44">
        <v>41086</v>
      </c>
      <c r="H110" s="62">
        <f t="shared" si="5"/>
        <v>1.192211711450293</v>
      </c>
    </row>
    <row r="111" spans="1:8" x14ac:dyDescent="0.2">
      <c r="A111" s="45" t="s">
        <v>86</v>
      </c>
      <c r="B111" s="45" t="s">
        <v>122</v>
      </c>
      <c r="C111" s="45" t="s">
        <v>121</v>
      </c>
      <c r="D111" s="44">
        <v>21992</v>
      </c>
      <c r="E111" s="44">
        <v>23579</v>
      </c>
      <c r="F111" s="67">
        <f t="shared" si="4"/>
        <v>1.0721626045834849</v>
      </c>
      <c r="G111" s="44">
        <v>26425</v>
      </c>
      <c r="H111" s="62">
        <f t="shared" si="5"/>
        <v>1.2015732993815933</v>
      </c>
    </row>
    <row r="112" spans="1:8" x14ac:dyDescent="0.2">
      <c r="A112" s="45" t="s">
        <v>86</v>
      </c>
      <c r="B112" s="45" t="s">
        <v>118</v>
      </c>
      <c r="C112" s="45" t="s">
        <v>117</v>
      </c>
      <c r="D112" s="44">
        <v>25446</v>
      </c>
      <c r="E112" s="44">
        <v>26831</v>
      </c>
      <c r="F112" s="67">
        <f t="shared" si="4"/>
        <v>1.054428986874165</v>
      </c>
      <c r="G112" s="44">
        <v>28300</v>
      </c>
      <c r="H112" s="62">
        <f t="shared" si="5"/>
        <v>1.1121590819775211</v>
      </c>
    </row>
    <row r="113" spans="1:8" x14ac:dyDescent="0.2">
      <c r="A113" s="45" t="s">
        <v>86</v>
      </c>
      <c r="B113" s="45" t="s">
        <v>116</v>
      </c>
      <c r="C113" s="45" t="s">
        <v>115</v>
      </c>
      <c r="D113" s="44">
        <v>21125</v>
      </c>
      <c r="E113" s="44">
        <v>21691</v>
      </c>
      <c r="F113" s="67">
        <f t="shared" si="4"/>
        <v>1.026792899408284</v>
      </c>
      <c r="G113" s="44">
        <v>19665</v>
      </c>
      <c r="H113" s="62">
        <f t="shared" si="5"/>
        <v>0.93088757396449706</v>
      </c>
    </row>
    <row r="114" spans="1:8" x14ac:dyDescent="0.2">
      <c r="A114" s="45" t="s">
        <v>86</v>
      </c>
      <c r="B114" s="45" t="s">
        <v>114</v>
      </c>
      <c r="C114" s="45" t="s">
        <v>113</v>
      </c>
      <c r="D114" s="44">
        <v>24862</v>
      </c>
      <c r="E114" s="44">
        <v>26743</v>
      </c>
      <c r="F114" s="67">
        <f t="shared" si="4"/>
        <v>1.0756576301182528</v>
      </c>
      <c r="G114" s="44">
        <v>29305</v>
      </c>
      <c r="H114" s="62">
        <f t="shared" si="5"/>
        <v>1.1787064596573082</v>
      </c>
    </row>
    <row r="115" spans="1:8" x14ac:dyDescent="0.2">
      <c r="A115" s="45" t="s">
        <v>86</v>
      </c>
      <c r="B115" s="45" t="s">
        <v>110</v>
      </c>
      <c r="C115" s="45" t="s">
        <v>462</v>
      </c>
      <c r="D115" s="44">
        <v>37563</v>
      </c>
      <c r="E115" s="44">
        <v>38841</v>
      </c>
      <c r="F115" s="67">
        <f t="shared" si="4"/>
        <v>1.0340228416260682</v>
      </c>
      <c r="G115" s="44">
        <v>42572</v>
      </c>
      <c r="H115" s="62">
        <f t="shared" si="5"/>
        <v>1.1333493064984159</v>
      </c>
    </row>
    <row r="116" spans="1:8" x14ac:dyDescent="0.2">
      <c r="A116" s="45" t="s">
        <v>86</v>
      </c>
      <c r="B116" s="45" t="s">
        <v>108</v>
      </c>
      <c r="C116" s="45" t="s">
        <v>107</v>
      </c>
      <c r="D116" s="44">
        <v>33245</v>
      </c>
      <c r="E116" s="44">
        <v>39021</v>
      </c>
      <c r="F116" s="67">
        <f t="shared" si="4"/>
        <v>1.1737404120920438</v>
      </c>
      <c r="G116" s="44">
        <v>43859</v>
      </c>
      <c r="H116" s="62">
        <f t="shared" si="5"/>
        <v>1.3192660550458715</v>
      </c>
    </row>
    <row r="117" spans="1:8" x14ac:dyDescent="0.2">
      <c r="A117" s="45" t="s">
        <v>86</v>
      </c>
      <c r="B117" s="45" t="s">
        <v>104</v>
      </c>
      <c r="C117" s="45" t="s">
        <v>103</v>
      </c>
      <c r="D117" s="44">
        <v>23244</v>
      </c>
      <c r="E117" s="44">
        <v>23310</v>
      </c>
      <c r="F117" s="67">
        <f t="shared" si="4"/>
        <v>1.0028394424367579</v>
      </c>
      <c r="G117" s="44">
        <v>26255</v>
      </c>
      <c r="H117" s="62">
        <f t="shared" si="5"/>
        <v>1.1295388057133025</v>
      </c>
    </row>
    <row r="118" spans="1:8" x14ac:dyDescent="0.2">
      <c r="A118" s="45" t="s">
        <v>86</v>
      </c>
      <c r="B118" s="45" t="s">
        <v>102</v>
      </c>
      <c r="C118" s="45" t="s">
        <v>101</v>
      </c>
      <c r="D118" s="44">
        <v>25997</v>
      </c>
      <c r="E118" s="44">
        <v>26476</v>
      </c>
      <c r="F118" s="67">
        <f t="shared" si="4"/>
        <v>1.0184252029080278</v>
      </c>
      <c r="G118" s="44">
        <v>27271</v>
      </c>
      <c r="H118" s="62">
        <f t="shared" si="5"/>
        <v>1.049005654498596</v>
      </c>
    </row>
    <row r="119" spans="1:8" x14ac:dyDescent="0.2">
      <c r="A119" s="45" t="s">
        <v>86</v>
      </c>
      <c r="B119" s="45" t="s">
        <v>100</v>
      </c>
      <c r="C119" s="45" t="s">
        <v>99</v>
      </c>
      <c r="D119" s="44">
        <v>31001</v>
      </c>
      <c r="E119" s="44">
        <v>30820</v>
      </c>
      <c r="F119" s="67">
        <f t="shared" si="4"/>
        <v>0.99416147866197868</v>
      </c>
      <c r="G119" s="44">
        <v>33710</v>
      </c>
      <c r="H119" s="62">
        <f t="shared" si="5"/>
        <v>1.0873842779265186</v>
      </c>
    </row>
    <row r="120" spans="1:8" x14ac:dyDescent="0.2">
      <c r="A120" s="45" t="s">
        <v>86</v>
      </c>
      <c r="B120" s="45" t="s">
        <v>98</v>
      </c>
      <c r="C120" s="45" t="s">
        <v>97</v>
      </c>
      <c r="D120" s="44">
        <v>28232</v>
      </c>
      <c r="E120" s="44">
        <v>26883</v>
      </c>
      <c r="F120" s="67">
        <f t="shared" si="4"/>
        <v>0.95221734202323605</v>
      </c>
      <c r="G120" s="44">
        <v>27845</v>
      </c>
      <c r="H120" s="62">
        <f t="shared" si="5"/>
        <v>0.98629215075092092</v>
      </c>
    </row>
    <row r="121" spans="1:8" x14ac:dyDescent="0.2">
      <c r="A121" s="45" t="s">
        <v>86</v>
      </c>
      <c r="B121" s="45" t="s">
        <v>94</v>
      </c>
      <c r="C121" s="45" t="s">
        <v>93</v>
      </c>
      <c r="D121" s="44">
        <v>50810</v>
      </c>
      <c r="E121" s="44">
        <v>50940</v>
      </c>
      <c r="F121" s="67">
        <f t="shared" si="4"/>
        <v>1.0025585514662467</v>
      </c>
      <c r="G121" s="44">
        <v>50062</v>
      </c>
      <c r="H121" s="62">
        <f t="shared" si="5"/>
        <v>0.98527848848651844</v>
      </c>
    </row>
    <row r="122" spans="1:8" x14ac:dyDescent="0.2">
      <c r="A122" s="45" t="s">
        <v>86</v>
      </c>
      <c r="B122" s="45" t="s">
        <v>92</v>
      </c>
      <c r="C122" s="45" t="s">
        <v>91</v>
      </c>
      <c r="D122" s="44">
        <v>28453</v>
      </c>
      <c r="E122" s="44">
        <v>29345</v>
      </c>
      <c r="F122" s="67">
        <f t="shared" si="4"/>
        <v>1.0313499455241979</v>
      </c>
      <c r="G122" s="44">
        <v>30489</v>
      </c>
      <c r="H122" s="62">
        <f t="shared" si="5"/>
        <v>1.0715566021157699</v>
      </c>
    </row>
    <row r="123" spans="1:8" x14ac:dyDescent="0.2">
      <c r="A123" s="45" t="s">
        <v>86</v>
      </c>
      <c r="B123" s="45" t="s">
        <v>90</v>
      </c>
      <c r="C123" s="45" t="s">
        <v>89</v>
      </c>
      <c r="D123" s="44">
        <v>31478</v>
      </c>
      <c r="E123" s="44">
        <v>33225</v>
      </c>
      <c r="F123" s="67">
        <f t="shared" si="4"/>
        <v>1.0554990787216469</v>
      </c>
      <c r="G123" s="44">
        <v>36292</v>
      </c>
      <c r="H123" s="62">
        <f t="shared" si="5"/>
        <v>1.1529322066204968</v>
      </c>
    </row>
  </sheetData>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B2BED-B534-402E-B8D7-C34A35615C97}">
  <dimension ref="A1:AD5"/>
  <sheetViews>
    <sheetView workbookViewId="0">
      <selection activeCell="Q8" sqref="Q8"/>
    </sheetView>
  </sheetViews>
  <sheetFormatPr defaultColWidth="14.28515625" defaultRowHeight="15" x14ac:dyDescent="0.2"/>
  <cols>
    <col min="1" max="1" width="7" style="7" bestFit="1" customWidth="1"/>
    <col min="2" max="2" width="13" style="7" bestFit="1" customWidth="1"/>
    <col min="3" max="3" width="59.140625" style="7" bestFit="1" customWidth="1"/>
    <col min="4" max="16" width="9.5703125" style="21" bestFit="1" customWidth="1"/>
    <col min="17" max="17" width="10.85546875" style="21" bestFit="1" customWidth="1"/>
    <col min="18" max="26" width="9.5703125" style="21" bestFit="1" customWidth="1"/>
    <col min="27" max="27" width="10.85546875" style="21" bestFit="1" customWidth="1"/>
    <col min="28" max="29" width="9.5703125" style="21" bestFit="1" customWidth="1"/>
    <col min="30" max="30" width="7.7109375" style="21" bestFit="1" customWidth="1"/>
    <col min="31" max="16384" width="14.28515625" style="21"/>
  </cols>
  <sheetData>
    <row r="1" spans="1:30" ht="18" x14ac:dyDescent="0.25">
      <c r="A1" s="9" t="s">
        <v>79</v>
      </c>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row>
    <row r="2" spans="1:30" s="7" customFormat="1" ht="15.75" x14ac:dyDescent="0.25">
      <c r="A2" s="8" t="s">
        <v>38</v>
      </c>
      <c r="B2" s="8" t="s">
        <v>39</v>
      </c>
      <c r="C2" s="8" t="s">
        <v>40</v>
      </c>
      <c r="D2" s="22" t="s">
        <v>41</v>
      </c>
      <c r="E2" s="22" t="s">
        <v>42</v>
      </c>
      <c r="F2" s="22" t="s">
        <v>43</v>
      </c>
      <c r="G2" s="22" t="s">
        <v>44</v>
      </c>
      <c r="H2" s="22" t="s">
        <v>45</v>
      </c>
      <c r="I2" s="22" t="s">
        <v>46</v>
      </c>
      <c r="J2" s="22" t="s">
        <v>47</v>
      </c>
      <c r="K2" s="22" t="s">
        <v>48</v>
      </c>
      <c r="L2" s="22" t="s">
        <v>49</v>
      </c>
      <c r="M2" s="22" t="s">
        <v>50</v>
      </c>
      <c r="N2" s="22" t="s">
        <v>51</v>
      </c>
      <c r="O2" s="22" t="s">
        <v>52</v>
      </c>
      <c r="P2" s="22" t="s">
        <v>53</v>
      </c>
      <c r="Q2" s="22" t="s">
        <v>54</v>
      </c>
      <c r="R2" s="22" t="s">
        <v>55</v>
      </c>
      <c r="S2" s="22" t="s">
        <v>56</v>
      </c>
      <c r="T2" s="22" t="s">
        <v>57</v>
      </c>
      <c r="U2" s="22" t="s">
        <v>58</v>
      </c>
      <c r="V2" s="22" t="s">
        <v>59</v>
      </c>
      <c r="W2" s="22" t="s">
        <v>60</v>
      </c>
      <c r="X2" s="22" t="s">
        <v>61</v>
      </c>
      <c r="Y2" s="22" t="s">
        <v>62</v>
      </c>
      <c r="Z2" s="22" t="s">
        <v>63</v>
      </c>
      <c r="AA2" s="22" t="s">
        <v>64</v>
      </c>
      <c r="AB2" s="22" t="s">
        <v>72</v>
      </c>
      <c r="AC2" s="22" t="s">
        <v>76</v>
      </c>
      <c r="AD2"/>
    </row>
    <row r="3" spans="1:30" x14ac:dyDescent="0.2">
      <c r="A3" s="34" t="s">
        <v>65</v>
      </c>
      <c r="B3" s="34" t="s">
        <v>65</v>
      </c>
      <c r="C3" s="34" t="s">
        <v>66</v>
      </c>
      <c r="D3" s="36">
        <v>28570</v>
      </c>
      <c r="E3" s="36">
        <v>29339</v>
      </c>
      <c r="F3" s="36">
        <v>30508</v>
      </c>
      <c r="G3" s="36">
        <v>31173</v>
      </c>
      <c r="H3" s="36">
        <v>31598</v>
      </c>
      <c r="I3" s="36">
        <v>32445</v>
      </c>
      <c r="J3" s="36">
        <v>33069</v>
      </c>
      <c r="K3" s="36">
        <v>33712</v>
      </c>
      <c r="L3" s="36">
        <v>34280</v>
      </c>
      <c r="M3" s="36">
        <v>34898</v>
      </c>
      <c r="N3" s="36">
        <v>34527</v>
      </c>
      <c r="O3" s="36">
        <v>32700</v>
      </c>
      <c r="P3" s="36">
        <v>33165</v>
      </c>
      <c r="Q3" s="36">
        <v>33264</v>
      </c>
      <c r="R3" s="36">
        <v>33537</v>
      </c>
      <c r="S3" s="36">
        <v>33911</v>
      </c>
      <c r="T3" s="36">
        <v>34731</v>
      </c>
      <c r="U3" s="36">
        <v>35244</v>
      </c>
      <c r="V3" s="36">
        <v>35633</v>
      </c>
      <c r="W3" s="36">
        <v>36378</v>
      </c>
      <c r="X3" s="36">
        <v>36704</v>
      </c>
      <c r="Y3" s="36">
        <v>37106</v>
      </c>
      <c r="Z3" s="36">
        <v>33227</v>
      </c>
      <c r="AA3" s="36">
        <v>35943</v>
      </c>
      <c r="AB3" s="36">
        <v>37372</v>
      </c>
      <c r="AC3" s="36">
        <v>37135</v>
      </c>
      <c r="AD3"/>
    </row>
    <row r="4" spans="1:30" x14ac:dyDescent="0.2">
      <c r="A4" s="35" t="s">
        <v>67</v>
      </c>
      <c r="B4" s="35" t="s">
        <v>68</v>
      </c>
      <c r="C4" s="35" t="s">
        <v>69</v>
      </c>
      <c r="D4" s="37">
        <v>27564</v>
      </c>
      <c r="E4" s="37">
        <v>28520</v>
      </c>
      <c r="F4" s="37">
        <v>29757</v>
      </c>
      <c r="G4" s="37">
        <v>30316</v>
      </c>
      <c r="H4" s="37">
        <v>30695</v>
      </c>
      <c r="I4" s="37">
        <v>31526</v>
      </c>
      <c r="J4" s="37">
        <v>32142</v>
      </c>
      <c r="K4" s="37">
        <v>32865</v>
      </c>
      <c r="L4" s="37">
        <v>33550</v>
      </c>
      <c r="M4" s="37">
        <v>34314</v>
      </c>
      <c r="N4" s="37">
        <v>33898</v>
      </c>
      <c r="O4" s="37">
        <v>31857</v>
      </c>
      <c r="P4" s="37">
        <v>32873</v>
      </c>
      <c r="Q4" s="37">
        <v>33428</v>
      </c>
      <c r="R4" s="37">
        <v>33847</v>
      </c>
      <c r="S4" s="37">
        <v>34298</v>
      </c>
      <c r="T4" s="37">
        <v>35191</v>
      </c>
      <c r="U4" s="37">
        <v>35594</v>
      </c>
      <c r="V4" s="37">
        <v>36031</v>
      </c>
      <c r="W4" s="37">
        <v>36802</v>
      </c>
      <c r="X4" s="37">
        <v>37095</v>
      </c>
      <c r="Y4" s="37">
        <v>37478</v>
      </c>
      <c r="Z4" s="37">
        <v>33437</v>
      </c>
      <c r="AA4" s="37">
        <v>36465</v>
      </c>
      <c r="AB4" s="37">
        <v>37774</v>
      </c>
      <c r="AC4" s="37">
        <v>37170</v>
      </c>
      <c r="AD4"/>
    </row>
    <row r="5" spans="1:30" x14ac:dyDescent="0.2">
      <c r="A5" s="45"/>
      <c r="B5" s="45"/>
      <c r="C5" s="46"/>
      <c r="D5" s="44"/>
      <c r="E5" s="44"/>
      <c r="F5" s="44"/>
      <c r="G5" s="44"/>
      <c r="H5" s="44"/>
      <c r="I5" s="44"/>
      <c r="J5" s="44"/>
      <c r="K5" s="44"/>
      <c r="L5" s="44"/>
      <c r="M5" s="44"/>
      <c r="N5" s="44"/>
      <c r="O5" s="44"/>
      <c r="P5" s="44"/>
      <c r="Q5" s="47">
        <f>Q4/$G$4</f>
        <v>1.1026520649162159</v>
      </c>
      <c r="R5" s="44"/>
      <c r="S5" s="44"/>
      <c r="T5" s="44"/>
      <c r="U5" s="44"/>
      <c r="V5" s="44"/>
      <c r="W5" s="44"/>
      <c r="X5" s="44"/>
      <c r="Y5" s="44"/>
      <c r="Z5" s="44"/>
      <c r="AA5" s="47">
        <f>AA4/$G$4</f>
        <v>1.2028301886792452</v>
      </c>
      <c r="AB5" s="44"/>
      <c r="AC5" s="44"/>
    </row>
  </sheetData>
  <phoneticPr fontId="31"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1A547-3226-4F43-9487-910BD643269E}">
  <dimension ref="A1:AC190"/>
  <sheetViews>
    <sheetView topLeftCell="A179" workbookViewId="0">
      <selection activeCell="A191" sqref="A191:A246"/>
    </sheetView>
  </sheetViews>
  <sheetFormatPr defaultColWidth="14.28515625" defaultRowHeight="15" x14ac:dyDescent="0.2"/>
  <cols>
    <col min="1" max="1" width="7" style="7" bestFit="1" customWidth="1"/>
    <col min="2" max="2" width="13" style="7" bestFit="1" customWidth="1"/>
    <col min="3" max="3" width="59.140625" style="7" bestFit="1" customWidth="1"/>
    <col min="4" max="28" width="8.7109375" style="21" bestFit="1" customWidth="1"/>
    <col min="29" max="29" width="7.7109375" style="21" bestFit="1" customWidth="1"/>
    <col min="30" max="16384" width="14.28515625" style="21"/>
  </cols>
  <sheetData>
    <row r="1" spans="1:29" ht="18" x14ac:dyDescent="0.25">
      <c r="A1" s="9" t="s">
        <v>80</v>
      </c>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row>
    <row r="2" spans="1:29" s="7" customFormat="1" ht="15.75" x14ac:dyDescent="0.25">
      <c r="A2" s="8" t="s">
        <v>38</v>
      </c>
      <c r="B2" s="8" t="s">
        <v>39</v>
      </c>
      <c r="C2" s="8" t="s">
        <v>40</v>
      </c>
      <c r="D2" s="22" t="s">
        <v>42</v>
      </c>
      <c r="E2" s="22" t="s">
        <v>43</v>
      </c>
      <c r="F2" s="22" t="s">
        <v>44</v>
      </c>
      <c r="G2" s="22" t="s">
        <v>45</v>
      </c>
      <c r="H2" s="22" t="s">
        <v>46</v>
      </c>
      <c r="I2" s="22" t="s">
        <v>47</v>
      </c>
      <c r="J2" s="22" t="s">
        <v>48</v>
      </c>
      <c r="K2" s="22" t="s">
        <v>49</v>
      </c>
      <c r="L2" s="22" t="s">
        <v>50</v>
      </c>
      <c r="M2" s="22" t="s">
        <v>51</v>
      </c>
      <c r="N2" s="22" t="s">
        <v>52</v>
      </c>
      <c r="O2" s="22" t="s">
        <v>53</v>
      </c>
      <c r="P2" s="22" t="s">
        <v>54</v>
      </c>
      <c r="Q2" s="22" t="s">
        <v>55</v>
      </c>
      <c r="R2" s="22" t="s">
        <v>56</v>
      </c>
      <c r="S2" s="22" t="s">
        <v>57</v>
      </c>
      <c r="T2" s="22" t="s">
        <v>58</v>
      </c>
      <c r="U2" s="22" t="s">
        <v>59</v>
      </c>
      <c r="V2" s="22" t="s">
        <v>60</v>
      </c>
      <c r="W2" s="22" t="s">
        <v>61</v>
      </c>
      <c r="X2" s="22" t="s">
        <v>62</v>
      </c>
      <c r="Y2" s="22" t="s">
        <v>63</v>
      </c>
      <c r="Z2" s="22" t="s">
        <v>64</v>
      </c>
      <c r="AA2" s="22" t="s">
        <v>72</v>
      </c>
      <c r="AB2" s="22" t="s">
        <v>76</v>
      </c>
      <c r="AC2" s="22"/>
    </row>
    <row r="3" spans="1:29" x14ac:dyDescent="0.2">
      <c r="A3" s="34" t="s">
        <v>65</v>
      </c>
      <c r="B3" s="34" t="s">
        <v>65</v>
      </c>
      <c r="C3" s="34" t="s">
        <v>66</v>
      </c>
      <c r="D3" s="39">
        <v>2.7</v>
      </c>
      <c r="E3" s="39">
        <v>4</v>
      </c>
      <c r="F3" s="39">
        <v>2.2000000000000002</v>
      </c>
      <c r="G3" s="39">
        <v>1.4</v>
      </c>
      <c r="H3" s="39">
        <v>2.7</v>
      </c>
      <c r="I3" s="39">
        <v>1.9</v>
      </c>
      <c r="J3" s="39">
        <v>1.9</v>
      </c>
      <c r="K3" s="39">
        <v>1.7</v>
      </c>
      <c r="L3" s="39">
        <v>1.8</v>
      </c>
      <c r="M3" s="39">
        <v>-1.1000000000000001</v>
      </c>
      <c r="N3" s="39">
        <v>-5.3</v>
      </c>
      <c r="O3" s="39">
        <v>1.4</v>
      </c>
      <c r="P3" s="39">
        <v>0.3</v>
      </c>
      <c r="Q3" s="39">
        <v>0.8</v>
      </c>
      <c r="R3" s="39">
        <v>1.1000000000000001</v>
      </c>
      <c r="S3" s="39">
        <v>2.4</v>
      </c>
      <c r="T3" s="39">
        <v>1.5</v>
      </c>
      <c r="U3" s="39">
        <v>1.1000000000000001</v>
      </c>
      <c r="V3" s="39">
        <v>2.1</v>
      </c>
      <c r="W3" s="39">
        <v>0.9</v>
      </c>
      <c r="X3" s="39">
        <v>1.1000000000000001</v>
      </c>
      <c r="Y3" s="39">
        <v>-10.5</v>
      </c>
      <c r="Z3" s="39">
        <v>8.1999999999999993</v>
      </c>
      <c r="AA3" s="39">
        <v>4</v>
      </c>
      <c r="AB3" s="39">
        <v>-0.6</v>
      </c>
      <c r="AC3" s="40"/>
    </row>
    <row r="4" spans="1:29" x14ac:dyDescent="0.2">
      <c r="A4" s="41" t="s">
        <v>67</v>
      </c>
      <c r="B4" s="41" t="s">
        <v>68</v>
      </c>
      <c r="C4" s="41" t="s">
        <v>69</v>
      </c>
      <c r="D4" s="42">
        <v>3.5</v>
      </c>
      <c r="E4" s="42">
        <v>4.3</v>
      </c>
      <c r="F4" s="42">
        <v>1.9</v>
      </c>
      <c r="G4" s="42">
        <v>1.2</v>
      </c>
      <c r="H4" s="42">
        <v>2.7</v>
      </c>
      <c r="I4" s="42">
        <v>2</v>
      </c>
      <c r="J4" s="42">
        <v>2.2000000000000002</v>
      </c>
      <c r="K4" s="42">
        <v>2.1</v>
      </c>
      <c r="L4" s="42">
        <v>2.2999999999999998</v>
      </c>
      <c r="M4" s="42">
        <v>-1.2</v>
      </c>
      <c r="N4" s="42">
        <v>-6</v>
      </c>
      <c r="O4" s="42">
        <v>3.2</v>
      </c>
      <c r="P4" s="42">
        <v>1.7</v>
      </c>
      <c r="Q4" s="42">
        <v>1.3</v>
      </c>
      <c r="R4" s="42">
        <v>1.3</v>
      </c>
      <c r="S4" s="42">
        <v>2.6</v>
      </c>
      <c r="T4" s="42">
        <v>1.1000000000000001</v>
      </c>
      <c r="U4" s="42">
        <v>1.2</v>
      </c>
      <c r="V4" s="42">
        <v>2.1</v>
      </c>
      <c r="W4" s="42">
        <v>0.8</v>
      </c>
      <c r="X4" s="42">
        <v>1</v>
      </c>
      <c r="Y4" s="42">
        <v>-10.8</v>
      </c>
      <c r="Z4" s="42">
        <v>9.1</v>
      </c>
      <c r="AA4" s="42">
        <v>3.6</v>
      </c>
      <c r="AB4" s="42">
        <v>-1.6</v>
      </c>
      <c r="AC4" s="43"/>
    </row>
    <row r="5" spans="1:29" x14ac:dyDescent="0.2">
      <c r="A5" s="55" t="s">
        <v>88</v>
      </c>
      <c r="B5" s="55" t="s">
        <v>457</v>
      </c>
      <c r="C5" s="55" t="s">
        <v>456</v>
      </c>
      <c r="D5" s="50">
        <v>2.8</v>
      </c>
      <c r="E5" s="50">
        <v>3</v>
      </c>
      <c r="F5" s="50">
        <v>4.5</v>
      </c>
      <c r="G5" s="50">
        <v>4.0999999999999996</v>
      </c>
      <c r="H5" s="50">
        <v>3.5</v>
      </c>
      <c r="I5" s="50">
        <v>5.4</v>
      </c>
      <c r="J5" s="50">
        <v>0.9</v>
      </c>
      <c r="K5" s="50">
        <v>2.6</v>
      </c>
      <c r="L5" s="50">
        <v>-0.2</v>
      </c>
      <c r="M5" s="50">
        <v>-1.8</v>
      </c>
      <c r="N5" s="50">
        <v>-4.7</v>
      </c>
      <c r="O5" s="50">
        <v>2.2999999999999998</v>
      </c>
      <c r="P5" s="50">
        <v>2.1</v>
      </c>
      <c r="Q5" s="50">
        <v>2.1</v>
      </c>
      <c r="R5" s="50">
        <v>-0.3</v>
      </c>
      <c r="S5" s="50">
        <v>1.9</v>
      </c>
      <c r="T5" s="50">
        <v>3.2</v>
      </c>
      <c r="U5" s="50">
        <v>-0.3</v>
      </c>
      <c r="V5" s="50">
        <v>2.1</v>
      </c>
      <c r="W5" s="50">
        <v>0.9</v>
      </c>
      <c r="X5" s="50">
        <v>1.8</v>
      </c>
      <c r="Y5" s="50">
        <v>-12.5</v>
      </c>
      <c r="Z5" s="50">
        <v>10.5</v>
      </c>
      <c r="AA5" s="50">
        <v>2.5</v>
      </c>
      <c r="AB5" s="50">
        <v>-0.6</v>
      </c>
      <c r="AC5" s="43"/>
    </row>
    <row r="6" spans="1:29" x14ac:dyDescent="0.2">
      <c r="A6" s="54" t="s">
        <v>87</v>
      </c>
      <c r="B6" s="54" t="s">
        <v>455</v>
      </c>
      <c r="C6" s="54" t="s">
        <v>454</v>
      </c>
      <c r="D6" s="48">
        <v>5.2</v>
      </c>
      <c r="E6" s="48">
        <v>4</v>
      </c>
      <c r="F6" s="48">
        <v>2.2000000000000002</v>
      </c>
      <c r="G6" s="48">
        <v>3.4</v>
      </c>
      <c r="H6" s="48">
        <v>5.4</v>
      </c>
      <c r="I6" s="48">
        <v>4.5999999999999996</v>
      </c>
      <c r="J6" s="48">
        <v>-0.5</v>
      </c>
      <c r="K6" s="48">
        <v>3.2</v>
      </c>
      <c r="L6" s="48">
        <v>-0.2</v>
      </c>
      <c r="M6" s="48">
        <v>-1.5</v>
      </c>
      <c r="N6" s="48">
        <v>-3.2</v>
      </c>
      <c r="O6" s="48">
        <v>2</v>
      </c>
      <c r="P6" s="48">
        <v>4.9000000000000004</v>
      </c>
      <c r="Q6" s="48">
        <v>2</v>
      </c>
      <c r="R6" s="48">
        <v>-0.4</v>
      </c>
      <c r="S6" s="48">
        <v>4.0999999999999996</v>
      </c>
      <c r="T6" s="48">
        <v>5.7</v>
      </c>
      <c r="U6" s="48">
        <v>-0.2</v>
      </c>
      <c r="V6" s="48">
        <v>-1</v>
      </c>
      <c r="W6" s="48">
        <v>1.4</v>
      </c>
      <c r="X6" s="48">
        <v>0.2</v>
      </c>
      <c r="Y6" s="48">
        <v>-10.4</v>
      </c>
      <c r="Z6" s="48">
        <v>9.1999999999999993</v>
      </c>
      <c r="AA6" s="48">
        <v>2</v>
      </c>
      <c r="AB6" s="48">
        <v>-3.8</v>
      </c>
      <c r="AC6" s="40"/>
    </row>
    <row r="7" spans="1:29" x14ac:dyDescent="0.2">
      <c r="A7" s="53" t="s">
        <v>86</v>
      </c>
      <c r="B7" s="53" t="s">
        <v>453</v>
      </c>
      <c r="C7" s="53" t="s">
        <v>452</v>
      </c>
      <c r="D7" s="40">
        <v>4.9000000000000004</v>
      </c>
      <c r="E7" s="40">
        <v>0.3</v>
      </c>
      <c r="F7" s="40">
        <v>0.4</v>
      </c>
      <c r="G7" s="40">
        <v>1.7</v>
      </c>
      <c r="H7" s="40">
        <v>3.9</v>
      </c>
      <c r="I7" s="40">
        <v>3.8</v>
      </c>
      <c r="J7" s="40">
        <v>-1.8</v>
      </c>
      <c r="K7" s="40">
        <v>3.2</v>
      </c>
      <c r="L7" s="40">
        <v>1.2</v>
      </c>
      <c r="M7" s="40">
        <v>-4.5</v>
      </c>
      <c r="N7" s="40">
        <v>-3.3</v>
      </c>
      <c r="O7" s="40">
        <v>1.5</v>
      </c>
      <c r="P7" s="40">
        <v>7.7</v>
      </c>
      <c r="Q7" s="40">
        <v>1.1000000000000001</v>
      </c>
      <c r="R7" s="40">
        <v>0.3</v>
      </c>
      <c r="S7" s="40">
        <v>0.7</v>
      </c>
      <c r="T7" s="40">
        <v>5.6</v>
      </c>
      <c r="U7" s="40">
        <v>1.4</v>
      </c>
      <c r="V7" s="40">
        <v>-2.5</v>
      </c>
      <c r="W7" s="40">
        <v>-0.9</v>
      </c>
      <c r="X7" s="40">
        <v>2</v>
      </c>
      <c r="Y7" s="40">
        <v>-6.8</v>
      </c>
      <c r="Z7" s="40">
        <v>5.8</v>
      </c>
      <c r="AA7" s="40">
        <v>0.3</v>
      </c>
      <c r="AB7" s="40">
        <v>-5.9</v>
      </c>
      <c r="AC7" s="40"/>
    </row>
    <row r="8" spans="1:29" x14ac:dyDescent="0.2">
      <c r="A8" s="53" t="s">
        <v>86</v>
      </c>
      <c r="B8" s="53" t="s">
        <v>451</v>
      </c>
      <c r="C8" s="53" t="s">
        <v>450</v>
      </c>
      <c r="D8" s="40">
        <v>4.2</v>
      </c>
      <c r="E8" s="40">
        <v>2.2000000000000002</v>
      </c>
      <c r="F8" s="40">
        <v>-0.8</v>
      </c>
      <c r="G8" s="40">
        <v>2</v>
      </c>
      <c r="H8" s="40">
        <v>4.7</v>
      </c>
      <c r="I8" s="40">
        <v>2.8</v>
      </c>
      <c r="J8" s="40">
        <v>0.8</v>
      </c>
      <c r="K8" s="40">
        <v>2.8</v>
      </c>
      <c r="L8" s="40">
        <v>-1.1000000000000001</v>
      </c>
      <c r="M8" s="40">
        <v>-1.1000000000000001</v>
      </c>
      <c r="N8" s="40">
        <v>-2.2000000000000002</v>
      </c>
      <c r="O8" s="40">
        <v>0.7</v>
      </c>
      <c r="P8" s="40">
        <v>1</v>
      </c>
      <c r="Q8" s="40">
        <v>2.5</v>
      </c>
      <c r="R8" s="40">
        <v>-2.2999999999999998</v>
      </c>
      <c r="S8" s="40">
        <v>2.2000000000000002</v>
      </c>
      <c r="T8" s="40">
        <v>2.9</v>
      </c>
      <c r="U8" s="40">
        <v>-0.5</v>
      </c>
      <c r="V8" s="40">
        <v>-0.5</v>
      </c>
      <c r="W8" s="40">
        <v>3.7</v>
      </c>
      <c r="X8" s="40">
        <v>-1.5</v>
      </c>
      <c r="Y8" s="40">
        <v>-13.9</v>
      </c>
      <c r="Z8" s="40">
        <v>12.5</v>
      </c>
      <c r="AA8" s="40">
        <v>3.3</v>
      </c>
      <c r="AB8" s="40">
        <v>-3.3</v>
      </c>
      <c r="AC8" s="40"/>
    </row>
    <row r="9" spans="1:29" x14ac:dyDescent="0.2">
      <c r="A9" s="53" t="s">
        <v>86</v>
      </c>
      <c r="B9" s="53" t="s">
        <v>449</v>
      </c>
      <c r="C9" s="53" t="s">
        <v>448</v>
      </c>
      <c r="D9" s="40">
        <v>7.5</v>
      </c>
      <c r="E9" s="40">
        <v>15.2</v>
      </c>
      <c r="F9" s="40">
        <v>11.1</v>
      </c>
      <c r="G9" s="40">
        <v>8.5</v>
      </c>
      <c r="H9" s="40">
        <v>9.3000000000000007</v>
      </c>
      <c r="I9" s="40">
        <v>8.9</v>
      </c>
      <c r="J9" s="40">
        <v>-0.5</v>
      </c>
      <c r="K9" s="40">
        <v>3.3</v>
      </c>
      <c r="L9" s="40">
        <v>-2.2000000000000002</v>
      </c>
      <c r="M9" s="40">
        <v>4.3</v>
      </c>
      <c r="N9" s="40">
        <v>-4.8</v>
      </c>
      <c r="O9" s="40">
        <v>5.4</v>
      </c>
      <c r="P9" s="40">
        <v>5.0999999999999996</v>
      </c>
      <c r="Q9" s="40">
        <v>3</v>
      </c>
      <c r="R9" s="40">
        <v>1.8</v>
      </c>
      <c r="S9" s="40">
        <v>15.8</v>
      </c>
      <c r="T9" s="40">
        <v>10.5</v>
      </c>
      <c r="U9" s="40">
        <v>-3.2</v>
      </c>
      <c r="V9" s="40">
        <v>1.8</v>
      </c>
      <c r="W9" s="40">
        <v>2.8</v>
      </c>
      <c r="X9" s="40">
        <v>-0.6</v>
      </c>
      <c r="Y9" s="40">
        <v>-12.9</v>
      </c>
      <c r="Z9" s="40">
        <v>11.8</v>
      </c>
      <c r="AA9" s="40">
        <v>3.9</v>
      </c>
      <c r="AB9" s="40">
        <v>0.9</v>
      </c>
      <c r="AC9" s="40"/>
    </row>
    <row r="10" spans="1:29" x14ac:dyDescent="0.2">
      <c r="A10" s="54" t="s">
        <v>87</v>
      </c>
      <c r="B10" s="54" t="s">
        <v>447</v>
      </c>
      <c r="C10" s="54" t="s">
        <v>446</v>
      </c>
      <c r="D10" s="48">
        <v>1.8</v>
      </c>
      <c r="E10" s="48">
        <v>2.9</v>
      </c>
      <c r="F10" s="48">
        <v>5.2</v>
      </c>
      <c r="G10" s="48">
        <v>4.0999999999999996</v>
      </c>
      <c r="H10" s="48">
        <v>2.7</v>
      </c>
      <c r="I10" s="48">
        <v>5.9</v>
      </c>
      <c r="J10" s="48">
        <v>1</v>
      </c>
      <c r="K10" s="48">
        <v>2.7</v>
      </c>
      <c r="L10" s="48">
        <v>-0.5</v>
      </c>
      <c r="M10" s="48">
        <v>-2.2999999999999998</v>
      </c>
      <c r="N10" s="48">
        <v>-5.5</v>
      </c>
      <c r="O10" s="48">
        <v>2.2000000000000002</v>
      </c>
      <c r="P10" s="48">
        <v>2</v>
      </c>
      <c r="Q10" s="48">
        <v>1.4</v>
      </c>
      <c r="R10" s="48">
        <v>-0.4</v>
      </c>
      <c r="S10" s="48">
        <v>1.3</v>
      </c>
      <c r="T10" s="48">
        <v>2.5</v>
      </c>
      <c r="U10" s="48">
        <v>0.1</v>
      </c>
      <c r="V10" s="48">
        <v>2.9</v>
      </c>
      <c r="W10" s="48">
        <v>0.9</v>
      </c>
      <c r="X10" s="48">
        <v>2.2000000000000002</v>
      </c>
      <c r="Y10" s="48">
        <v>-13.2</v>
      </c>
      <c r="Z10" s="48">
        <v>11.3</v>
      </c>
      <c r="AA10" s="48">
        <v>2.5</v>
      </c>
      <c r="AB10" s="48">
        <v>0.6</v>
      </c>
      <c r="AC10" s="40"/>
    </row>
    <row r="11" spans="1:29" x14ac:dyDescent="0.2">
      <c r="A11" s="53" t="s">
        <v>86</v>
      </c>
      <c r="B11" s="53" t="s">
        <v>445</v>
      </c>
      <c r="C11" s="53" t="s">
        <v>444</v>
      </c>
      <c r="D11" s="40">
        <v>5</v>
      </c>
      <c r="E11" s="40">
        <v>1.8</v>
      </c>
      <c r="F11" s="40">
        <v>2.4</v>
      </c>
      <c r="G11" s="40">
        <v>2.1</v>
      </c>
      <c r="H11" s="40">
        <v>3.4</v>
      </c>
      <c r="I11" s="40">
        <v>4.5</v>
      </c>
      <c r="J11" s="40">
        <v>-0.4</v>
      </c>
      <c r="K11" s="40">
        <v>2.4</v>
      </c>
      <c r="L11" s="40">
        <v>1.2</v>
      </c>
      <c r="M11" s="40">
        <v>-1.9</v>
      </c>
      <c r="N11" s="40">
        <v>-4.9000000000000004</v>
      </c>
      <c r="O11" s="40">
        <v>1</v>
      </c>
      <c r="P11" s="40">
        <v>-1.8</v>
      </c>
      <c r="Q11" s="40">
        <v>0.6</v>
      </c>
      <c r="R11" s="40">
        <v>-1.1000000000000001</v>
      </c>
      <c r="S11" s="40">
        <v>-1.4</v>
      </c>
      <c r="T11" s="40">
        <v>0.3</v>
      </c>
      <c r="U11" s="40">
        <v>-2</v>
      </c>
      <c r="V11" s="40">
        <v>2.1</v>
      </c>
      <c r="W11" s="40">
        <v>3.2</v>
      </c>
      <c r="X11" s="40">
        <v>2.1</v>
      </c>
      <c r="Y11" s="40">
        <v>-5.0999999999999996</v>
      </c>
      <c r="Z11" s="40">
        <v>8.3000000000000007</v>
      </c>
      <c r="AA11" s="40">
        <v>0.1</v>
      </c>
      <c r="AB11" s="40">
        <v>2.7</v>
      </c>
      <c r="AC11" s="40"/>
    </row>
    <row r="12" spans="1:29" x14ac:dyDescent="0.2">
      <c r="A12" s="53" t="s">
        <v>86</v>
      </c>
      <c r="B12" s="53" t="s">
        <v>443</v>
      </c>
      <c r="C12" s="53" t="s">
        <v>442</v>
      </c>
      <c r="D12" s="40">
        <v>1.4</v>
      </c>
      <c r="E12" s="40">
        <v>1.2</v>
      </c>
      <c r="F12" s="40">
        <v>3.8</v>
      </c>
      <c r="G12" s="40">
        <v>4.5</v>
      </c>
      <c r="H12" s="40">
        <v>1.2</v>
      </c>
      <c r="I12" s="40">
        <v>4.9000000000000004</v>
      </c>
      <c r="J12" s="40">
        <v>0.2</v>
      </c>
      <c r="K12" s="40">
        <v>2.8</v>
      </c>
      <c r="L12" s="40">
        <v>-1.6</v>
      </c>
      <c r="M12" s="40">
        <v>-2.6</v>
      </c>
      <c r="N12" s="40">
        <v>-5.6</v>
      </c>
      <c r="O12" s="40">
        <v>2.8</v>
      </c>
      <c r="P12" s="40">
        <v>1.4</v>
      </c>
      <c r="Q12" s="40">
        <v>0.5</v>
      </c>
      <c r="R12" s="40">
        <v>0.1</v>
      </c>
      <c r="S12" s="40">
        <v>2.2999999999999998</v>
      </c>
      <c r="T12" s="40">
        <v>0.8</v>
      </c>
      <c r="U12" s="40">
        <v>-0.5</v>
      </c>
      <c r="V12" s="40">
        <v>0.6</v>
      </c>
      <c r="W12" s="40">
        <v>-0.1</v>
      </c>
      <c r="X12" s="40">
        <v>3.2</v>
      </c>
      <c r="Y12" s="40">
        <v>-13.6</v>
      </c>
      <c r="Z12" s="40">
        <v>8.9</v>
      </c>
      <c r="AA12" s="40">
        <v>2.7</v>
      </c>
      <c r="AB12" s="40">
        <v>-2.2000000000000002</v>
      </c>
      <c r="AC12" s="40"/>
    </row>
    <row r="13" spans="1:29" x14ac:dyDescent="0.2">
      <c r="A13" s="53" t="s">
        <v>86</v>
      </c>
      <c r="B13" s="53" t="s">
        <v>441</v>
      </c>
      <c r="C13" s="53" t="s">
        <v>440</v>
      </c>
      <c r="D13" s="40">
        <v>0.7</v>
      </c>
      <c r="E13" s="40">
        <v>3.7</v>
      </c>
      <c r="F13" s="40">
        <v>5.5</v>
      </c>
      <c r="G13" s="40">
        <v>5</v>
      </c>
      <c r="H13" s="40">
        <v>2.6</v>
      </c>
      <c r="I13" s="40">
        <v>6.8</v>
      </c>
      <c r="J13" s="40">
        <v>2</v>
      </c>
      <c r="K13" s="40">
        <v>2.7</v>
      </c>
      <c r="L13" s="40">
        <v>-1</v>
      </c>
      <c r="M13" s="40">
        <v>-3.1</v>
      </c>
      <c r="N13" s="40">
        <v>-6</v>
      </c>
      <c r="O13" s="40">
        <v>3.5</v>
      </c>
      <c r="P13" s="40">
        <v>3.8</v>
      </c>
      <c r="Q13" s="40">
        <v>2.7</v>
      </c>
      <c r="R13" s="40">
        <v>-2.1</v>
      </c>
      <c r="S13" s="40">
        <v>2</v>
      </c>
      <c r="T13" s="40">
        <v>3.2</v>
      </c>
      <c r="U13" s="40">
        <v>1.2</v>
      </c>
      <c r="V13" s="40">
        <v>3.9</v>
      </c>
      <c r="W13" s="40">
        <v>0.7</v>
      </c>
      <c r="X13" s="40">
        <v>2.2999999999999998</v>
      </c>
      <c r="Y13" s="40">
        <v>-15.6</v>
      </c>
      <c r="Z13" s="40">
        <v>15.3</v>
      </c>
      <c r="AA13" s="40">
        <v>4</v>
      </c>
      <c r="AB13" s="40">
        <v>0.5</v>
      </c>
      <c r="AC13" s="40"/>
    </row>
    <row r="14" spans="1:29" x14ac:dyDescent="0.2">
      <c r="A14" s="53" t="s">
        <v>86</v>
      </c>
      <c r="B14" s="53" t="s">
        <v>439</v>
      </c>
      <c r="C14" s="53" t="s">
        <v>438</v>
      </c>
      <c r="D14" s="40">
        <v>1.3</v>
      </c>
      <c r="E14" s="40">
        <v>4.2</v>
      </c>
      <c r="F14" s="40">
        <v>9.6999999999999993</v>
      </c>
      <c r="G14" s="40">
        <v>3.9</v>
      </c>
      <c r="H14" s="40">
        <v>3.5</v>
      </c>
      <c r="I14" s="40">
        <v>6.5</v>
      </c>
      <c r="J14" s="40">
        <v>0.9</v>
      </c>
      <c r="K14" s="40">
        <v>2.8</v>
      </c>
      <c r="L14" s="40">
        <v>-0.5</v>
      </c>
      <c r="M14" s="40">
        <v>0</v>
      </c>
      <c r="N14" s="40">
        <v>-5</v>
      </c>
      <c r="O14" s="40">
        <v>-0.4</v>
      </c>
      <c r="P14" s="40">
        <v>2.9</v>
      </c>
      <c r="Q14" s="40">
        <v>-0.6</v>
      </c>
      <c r="R14" s="40">
        <v>5.3</v>
      </c>
      <c r="S14" s="40">
        <v>1.8</v>
      </c>
      <c r="T14" s="40">
        <v>4.3</v>
      </c>
      <c r="U14" s="40">
        <v>-0.1</v>
      </c>
      <c r="V14" s="40">
        <v>2.8</v>
      </c>
      <c r="W14" s="40">
        <v>-0.7</v>
      </c>
      <c r="X14" s="40">
        <v>1.6</v>
      </c>
      <c r="Y14" s="40">
        <v>-16.3</v>
      </c>
      <c r="Z14" s="40">
        <v>6.3</v>
      </c>
      <c r="AA14" s="40">
        <v>1.2</v>
      </c>
      <c r="AB14" s="40">
        <v>-0.1</v>
      </c>
      <c r="AC14" s="40"/>
    </row>
    <row r="15" spans="1:29" x14ac:dyDescent="0.2">
      <c r="A15" s="51" t="s">
        <v>88</v>
      </c>
      <c r="B15" s="51" t="s">
        <v>437</v>
      </c>
      <c r="C15" s="51" t="s">
        <v>436</v>
      </c>
      <c r="D15" s="50">
        <v>4.5999999999999996</v>
      </c>
      <c r="E15" s="50">
        <v>2.2999999999999998</v>
      </c>
      <c r="F15" s="50">
        <v>3.7</v>
      </c>
      <c r="G15" s="50">
        <v>2.1</v>
      </c>
      <c r="H15" s="50">
        <v>2.8</v>
      </c>
      <c r="I15" s="50">
        <v>3.1</v>
      </c>
      <c r="J15" s="50">
        <v>1.9</v>
      </c>
      <c r="K15" s="50">
        <v>2.7</v>
      </c>
      <c r="L15" s="50">
        <v>1.3</v>
      </c>
      <c r="M15" s="50">
        <v>-1.8</v>
      </c>
      <c r="N15" s="50">
        <v>-4.5999999999999996</v>
      </c>
      <c r="O15" s="50">
        <v>3</v>
      </c>
      <c r="P15" s="50">
        <v>0.3</v>
      </c>
      <c r="Q15" s="50">
        <v>1.6</v>
      </c>
      <c r="R15" s="50">
        <v>1.3</v>
      </c>
      <c r="S15" s="50">
        <v>2.5</v>
      </c>
      <c r="T15" s="50">
        <v>2</v>
      </c>
      <c r="U15" s="50">
        <v>0.9</v>
      </c>
      <c r="V15" s="50">
        <v>2.6</v>
      </c>
      <c r="W15" s="50">
        <v>0.3</v>
      </c>
      <c r="X15" s="50">
        <v>1.5</v>
      </c>
      <c r="Y15" s="50">
        <v>-9.5</v>
      </c>
      <c r="Z15" s="50">
        <v>9.4</v>
      </c>
      <c r="AA15" s="50">
        <v>4.2</v>
      </c>
      <c r="AB15" s="50">
        <v>-1.2</v>
      </c>
      <c r="AC15" s="43"/>
    </row>
    <row r="16" spans="1:29" x14ac:dyDescent="0.2">
      <c r="A16" s="49" t="s">
        <v>87</v>
      </c>
      <c r="B16" s="49" t="s">
        <v>435</v>
      </c>
      <c r="C16" s="49" t="s">
        <v>434</v>
      </c>
      <c r="D16" s="48">
        <v>3.6</v>
      </c>
      <c r="E16" s="48">
        <v>-1.5</v>
      </c>
      <c r="F16" s="48">
        <v>-1.3</v>
      </c>
      <c r="G16" s="48">
        <v>2.7</v>
      </c>
      <c r="H16" s="48">
        <v>4</v>
      </c>
      <c r="I16" s="48">
        <v>0.5</v>
      </c>
      <c r="J16" s="48">
        <v>1.9</v>
      </c>
      <c r="K16" s="48">
        <v>4.9000000000000004</v>
      </c>
      <c r="L16" s="48">
        <v>-1.1000000000000001</v>
      </c>
      <c r="M16" s="48">
        <v>2</v>
      </c>
      <c r="N16" s="48">
        <v>-5.9</v>
      </c>
      <c r="O16" s="48">
        <v>2.5</v>
      </c>
      <c r="P16" s="48">
        <v>-1.5</v>
      </c>
      <c r="Q16" s="48">
        <v>3.8</v>
      </c>
      <c r="R16" s="48">
        <v>1.1000000000000001</v>
      </c>
      <c r="S16" s="48">
        <v>4.4000000000000004</v>
      </c>
      <c r="T16" s="48">
        <v>1.9</v>
      </c>
      <c r="U16" s="48">
        <v>-0.6</v>
      </c>
      <c r="V16" s="48">
        <v>1.3</v>
      </c>
      <c r="W16" s="48">
        <v>-1.6</v>
      </c>
      <c r="X16" s="48">
        <v>3.4</v>
      </c>
      <c r="Y16" s="48">
        <v>-12</v>
      </c>
      <c r="Z16" s="48">
        <v>5</v>
      </c>
      <c r="AA16" s="48">
        <v>7.7</v>
      </c>
      <c r="AB16" s="48">
        <v>-0.6</v>
      </c>
      <c r="AC16" s="40"/>
    </row>
    <row r="17" spans="1:29" x14ac:dyDescent="0.2">
      <c r="A17" s="45" t="s">
        <v>86</v>
      </c>
      <c r="B17" s="45" t="s">
        <v>433</v>
      </c>
      <c r="C17" s="45" t="s">
        <v>432</v>
      </c>
      <c r="D17" s="40">
        <v>8.4</v>
      </c>
      <c r="E17" s="40">
        <v>-4.5999999999999996</v>
      </c>
      <c r="F17" s="40">
        <v>0.3</v>
      </c>
      <c r="G17" s="40">
        <v>0.5</v>
      </c>
      <c r="H17" s="40">
        <v>2.2000000000000002</v>
      </c>
      <c r="I17" s="40">
        <v>-1.7</v>
      </c>
      <c r="J17" s="40">
        <v>3.5</v>
      </c>
      <c r="K17" s="40">
        <v>6</v>
      </c>
      <c r="L17" s="40">
        <v>-2.7</v>
      </c>
      <c r="M17" s="40">
        <v>1.3</v>
      </c>
      <c r="N17" s="40">
        <v>-4</v>
      </c>
      <c r="O17" s="40">
        <v>1.2</v>
      </c>
      <c r="P17" s="40">
        <v>-2.8</v>
      </c>
      <c r="Q17" s="40">
        <v>3.3</v>
      </c>
      <c r="R17" s="40">
        <v>2.9</v>
      </c>
      <c r="S17" s="40">
        <v>5.5</v>
      </c>
      <c r="T17" s="40">
        <v>2.5</v>
      </c>
      <c r="U17" s="40">
        <v>-2.7</v>
      </c>
      <c r="V17" s="40">
        <v>-2.2999999999999998</v>
      </c>
      <c r="W17" s="40">
        <v>-2.1</v>
      </c>
      <c r="X17" s="40">
        <v>0.5</v>
      </c>
      <c r="Y17" s="40">
        <v>-14.9</v>
      </c>
      <c r="Z17" s="40">
        <v>3.7</v>
      </c>
      <c r="AA17" s="40">
        <v>8.1</v>
      </c>
      <c r="AB17" s="40">
        <v>-1.6</v>
      </c>
      <c r="AC17" s="40"/>
    </row>
    <row r="18" spans="1:29" x14ac:dyDescent="0.2">
      <c r="A18" s="45" t="s">
        <v>86</v>
      </c>
      <c r="B18" s="45" t="s">
        <v>431</v>
      </c>
      <c r="C18" s="45" t="s">
        <v>430</v>
      </c>
      <c r="D18" s="40">
        <v>1.2</v>
      </c>
      <c r="E18" s="40">
        <v>2.4</v>
      </c>
      <c r="F18" s="40">
        <v>-2.2999999999999998</v>
      </c>
      <c r="G18" s="40">
        <v>5.3</v>
      </c>
      <c r="H18" s="40">
        <v>5</v>
      </c>
      <c r="I18" s="40">
        <v>2.2000000000000002</v>
      </c>
      <c r="J18" s="40">
        <v>-0.3</v>
      </c>
      <c r="K18" s="40">
        <v>5.3</v>
      </c>
      <c r="L18" s="40">
        <v>0</v>
      </c>
      <c r="M18" s="40">
        <v>1</v>
      </c>
      <c r="N18" s="40">
        <v>-5.4</v>
      </c>
      <c r="O18" s="40">
        <v>3.4</v>
      </c>
      <c r="P18" s="40">
        <v>0.6</v>
      </c>
      <c r="Q18" s="40">
        <v>2.5</v>
      </c>
      <c r="R18" s="40">
        <v>0.1</v>
      </c>
      <c r="S18" s="40">
        <v>2.6</v>
      </c>
      <c r="T18" s="40">
        <v>2.1</v>
      </c>
      <c r="U18" s="40">
        <v>-0.7</v>
      </c>
      <c r="V18" s="40">
        <v>3.5</v>
      </c>
      <c r="W18" s="40">
        <v>-0.6</v>
      </c>
      <c r="X18" s="40">
        <v>6.4</v>
      </c>
      <c r="Y18" s="40">
        <v>-8.6</v>
      </c>
      <c r="Z18" s="40">
        <v>6.2</v>
      </c>
      <c r="AA18" s="40">
        <v>3.5</v>
      </c>
      <c r="AB18" s="40">
        <v>0.1</v>
      </c>
      <c r="AC18" s="40"/>
    </row>
    <row r="19" spans="1:29" x14ac:dyDescent="0.2">
      <c r="A19" s="49" t="s">
        <v>87</v>
      </c>
      <c r="B19" s="49" t="s">
        <v>429</v>
      </c>
      <c r="C19" s="49" t="s">
        <v>428</v>
      </c>
      <c r="D19" s="48">
        <v>4.7</v>
      </c>
      <c r="E19" s="48">
        <v>2.4</v>
      </c>
      <c r="F19" s="48">
        <v>3.1</v>
      </c>
      <c r="G19" s="48">
        <v>1.9</v>
      </c>
      <c r="H19" s="48">
        <v>1.7</v>
      </c>
      <c r="I19" s="48">
        <v>2.8</v>
      </c>
      <c r="J19" s="48">
        <v>2.9</v>
      </c>
      <c r="K19" s="48">
        <v>2</v>
      </c>
      <c r="L19" s="48">
        <v>3</v>
      </c>
      <c r="M19" s="48">
        <v>-2.5</v>
      </c>
      <c r="N19" s="48">
        <v>-3.5</v>
      </c>
      <c r="O19" s="48">
        <v>2.4</v>
      </c>
      <c r="P19" s="48">
        <v>-0.3</v>
      </c>
      <c r="Q19" s="48">
        <v>2.8</v>
      </c>
      <c r="R19" s="48">
        <v>1.9</v>
      </c>
      <c r="S19" s="48">
        <v>0.9</v>
      </c>
      <c r="T19" s="48">
        <v>2.6</v>
      </c>
      <c r="U19" s="48">
        <v>0.9</v>
      </c>
      <c r="V19" s="48">
        <v>4.4000000000000004</v>
      </c>
      <c r="W19" s="48">
        <v>1.7</v>
      </c>
      <c r="X19" s="48">
        <v>1.1000000000000001</v>
      </c>
      <c r="Y19" s="48">
        <v>-7.7</v>
      </c>
      <c r="Z19" s="48">
        <v>8.6</v>
      </c>
      <c r="AA19" s="48">
        <v>6.4</v>
      </c>
      <c r="AB19" s="48">
        <v>-1</v>
      </c>
      <c r="AC19" s="40"/>
    </row>
    <row r="20" spans="1:29" x14ac:dyDescent="0.2">
      <c r="A20" s="45" t="s">
        <v>86</v>
      </c>
      <c r="B20" s="45" t="s">
        <v>427</v>
      </c>
      <c r="C20" s="45" t="s">
        <v>426</v>
      </c>
      <c r="D20" s="40">
        <v>4</v>
      </c>
      <c r="E20" s="40">
        <v>1.6</v>
      </c>
      <c r="F20" s="40">
        <v>3</v>
      </c>
      <c r="G20" s="40">
        <v>1.4</v>
      </c>
      <c r="H20" s="40">
        <v>0.8</v>
      </c>
      <c r="I20" s="40">
        <v>3</v>
      </c>
      <c r="J20" s="40">
        <v>3.3</v>
      </c>
      <c r="K20" s="40">
        <v>1.4</v>
      </c>
      <c r="L20" s="40">
        <v>5.2</v>
      </c>
      <c r="M20" s="40">
        <v>-1.9</v>
      </c>
      <c r="N20" s="40">
        <v>-3.8</v>
      </c>
      <c r="O20" s="40">
        <v>2.1</v>
      </c>
      <c r="P20" s="40">
        <v>-1.6</v>
      </c>
      <c r="Q20" s="40">
        <v>2.8</v>
      </c>
      <c r="R20" s="40">
        <v>-0.2</v>
      </c>
      <c r="S20" s="40">
        <v>0.8</v>
      </c>
      <c r="T20" s="40">
        <v>2.2999999999999998</v>
      </c>
      <c r="U20" s="40">
        <v>3</v>
      </c>
      <c r="V20" s="40">
        <v>7.6</v>
      </c>
      <c r="W20" s="40">
        <v>1.5</v>
      </c>
      <c r="X20" s="40">
        <v>4.2</v>
      </c>
      <c r="Y20" s="40">
        <v>-9.8000000000000007</v>
      </c>
      <c r="Z20" s="40">
        <v>10.6</v>
      </c>
      <c r="AA20" s="40">
        <v>11.3</v>
      </c>
      <c r="AB20" s="40">
        <v>-0.4</v>
      </c>
      <c r="AC20" s="40"/>
    </row>
    <row r="21" spans="1:29" x14ac:dyDescent="0.2">
      <c r="A21" s="45" t="s">
        <v>86</v>
      </c>
      <c r="B21" s="45" t="s">
        <v>425</v>
      </c>
      <c r="C21" s="45" t="s">
        <v>424</v>
      </c>
      <c r="D21" s="40">
        <v>4.8</v>
      </c>
      <c r="E21" s="40">
        <v>3.5</v>
      </c>
      <c r="F21" s="40">
        <v>3.8</v>
      </c>
      <c r="G21" s="40">
        <v>2.5</v>
      </c>
      <c r="H21" s="40">
        <v>1.4</v>
      </c>
      <c r="I21" s="40">
        <v>2.5</v>
      </c>
      <c r="J21" s="40">
        <v>2.5</v>
      </c>
      <c r="K21" s="40">
        <v>1.3</v>
      </c>
      <c r="L21" s="40">
        <v>3.1</v>
      </c>
      <c r="M21" s="40">
        <v>-2.4</v>
      </c>
      <c r="N21" s="40">
        <v>-5.6</v>
      </c>
      <c r="O21" s="40">
        <v>1.2</v>
      </c>
      <c r="P21" s="40">
        <v>-1.5</v>
      </c>
      <c r="Q21" s="40">
        <v>3.3</v>
      </c>
      <c r="R21" s="40">
        <v>3.3</v>
      </c>
      <c r="S21" s="40">
        <v>2.5</v>
      </c>
      <c r="T21" s="40">
        <v>2.7</v>
      </c>
      <c r="U21" s="40">
        <v>-1.5</v>
      </c>
      <c r="V21" s="40">
        <v>2.7</v>
      </c>
      <c r="W21" s="40">
        <v>3.9</v>
      </c>
      <c r="X21" s="40">
        <v>0.8</v>
      </c>
      <c r="Y21" s="40">
        <v>-3.5</v>
      </c>
      <c r="Z21" s="40">
        <v>8.6</v>
      </c>
      <c r="AA21" s="40">
        <v>3.4</v>
      </c>
      <c r="AB21" s="40">
        <v>-2.8</v>
      </c>
      <c r="AC21" s="40"/>
    </row>
    <row r="22" spans="1:29" x14ac:dyDescent="0.2">
      <c r="A22" s="45" t="s">
        <v>86</v>
      </c>
      <c r="B22" s="45" t="s">
        <v>423</v>
      </c>
      <c r="C22" s="45" t="s">
        <v>422</v>
      </c>
      <c r="D22" s="40">
        <v>5.7</v>
      </c>
      <c r="E22" s="40">
        <v>3.9</v>
      </c>
      <c r="F22" s="40">
        <v>2.7</v>
      </c>
      <c r="G22" s="40">
        <v>2.5</v>
      </c>
      <c r="H22" s="40">
        <v>2.2999999999999998</v>
      </c>
      <c r="I22" s="40">
        <v>1.9</v>
      </c>
      <c r="J22" s="40">
        <v>2.4</v>
      </c>
      <c r="K22" s="40">
        <v>2.5</v>
      </c>
      <c r="L22" s="40">
        <v>1.7</v>
      </c>
      <c r="M22" s="40">
        <v>-2</v>
      </c>
      <c r="N22" s="40">
        <v>-3</v>
      </c>
      <c r="O22" s="40">
        <v>1.6</v>
      </c>
      <c r="P22" s="40">
        <v>-0.3</v>
      </c>
      <c r="Q22" s="40">
        <v>1.6</v>
      </c>
      <c r="R22" s="40">
        <v>0.4</v>
      </c>
      <c r="S22" s="40">
        <v>-0.5</v>
      </c>
      <c r="T22" s="40">
        <v>-0.7</v>
      </c>
      <c r="U22" s="40">
        <v>0.8</v>
      </c>
      <c r="V22" s="40">
        <v>5.3</v>
      </c>
      <c r="W22" s="40">
        <v>1.1000000000000001</v>
      </c>
      <c r="X22" s="40">
        <v>-1.6</v>
      </c>
      <c r="Y22" s="40">
        <v>-7.3</v>
      </c>
      <c r="Z22" s="40">
        <v>6.8</v>
      </c>
      <c r="AA22" s="40">
        <v>5</v>
      </c>
      <c r="AB22" s="40">
        <v>-1.1000000000000001</v>
      </c>
      <c r="AC22" s="40"/>
    </row>
    <row r="23" spans="1:29" x14ac:dyDescent="0.2">
      <c r="A23" s="45" t="s">
        <v>86</v>
      </c>
      <c r="B23" s="45" t="s">
        <v>421</v>
      </c>
      <c r="C23" s="45" t="s">
        <v>420</v>
      </c>
      <c r="D23" s="40">
        <v>3.9</v>
      </c>
      <c r="E23" s="40">
        <v>0.8</v>
      </c>
      <c r="F23" s="40">
        <v>3</v>
      </c>
      <c r="G23" s="40">
        <v>0</v>
      </c>
      <c r="H23" s="40">
        <v>1.2</v>
      </c>
      <c r="I23" s="40">
        <v>2.1</v>
      </c>
      <c r="J23" s="40">
        <v>1.2</v>
      </c>
      <c r="K23" s="40">
        <v>1.5</v>
      </c>
      <c r="L23" s="40">
        <v>0.2</v>
      </c>
      <c r="M23" s="40">
        <v>-5.3</v>
      </c>
      <c r="N23" s="40">
        <v>-4.2</v>
      </c>
      <c r="O23" s="40">
        <v>1.7</v>
      </c>
      <c r="P23" s="40">
        <v>0</v>
      </c>
      <c r="Q23" s="40">
        <v>2.1</v>
      </c>
      <c r="R23" s="40">
        <v>3.2</v>
      </c>
      <c r="S23" s="40">
        <v>0.7</v>
      </c>
      <c r="T23" s="40">
        <v>3.1</v>
      </c>
      <c r="U23" s="40">
        <v>1.6</v>
      </c>
      <c r="V23" s="40">
        <v>1.9</v>
      </c>
      <c r="W23" s="40">
        <v>0.7</v>
      </c>
      <c r="X23" s="40">
        <v>-3.2</v>
      </c>
      <c r="Y23" s="40">
        <v>-6.5</v>
      </c>
      <c r="Z23" s="40">
        <v>6.5</v>
      </c>
      <c r="AA23" s="40">
        <v>1.6</v>
      </c>
      <c r="AB23" s="40">
        <v>-0.6</v>
      </c>
      <c r="AC23" s="40"/>
    </row>
    <row r="24" spans="1:29" x14ac:dyDescent="0.2">
      <c r="A24" s="45" t="s">
        <v>86</v>
      </c>
      <c r="B24" s="45" t="s">
        <v>419</v>
      </c>
      <c r="C24" s="45" t="s">
        <v>418</v>
      </c>
      <c r="D24" s="40">
        <v>5.2</v>
      </c>
      <c r="E24" s="40">
        <v>3.4</v>
      </c>
      <c r="F24" s="40">
        <v>2.7</v>
      </c>
      <c r="G24" s="40">
        <v>2.7</v>
      </c>
      <c r="H24" s="40">
        <v>1.5</v>
      </c>
      <c r="I24" s="40">
        <v>3.9</v>
      </c>
      <c r="J24" s="40">
        <v>2.4</v>
      </c>
      <c r="K24" s="40">
        <v>2.8</v>
      </c>
      <c r="L24" s="40">
        <v>1.5</v>
      </c>
      <c r="M24" s="40">
        <v>-2.9</v>
      </c>
      <c r="N24" s="40">
        <v>-3.5</v>
      </c>
      <c r="O24" s="40">
        <v>3.1</v>
      </c>
      <c r="P24" s="40">
        <v>1</v>
      </c>
      <c r="Q24" s="40">
        <v>3</v>
      </c>
      <c r="R24" s="40">
        <v>1.5</v>
      </c>
      <c r="S24" s="40">
        <v>0.5</v>
      </c>
      <c r="T24" s="40">
        <v>2.9</v>
      </c>
      <c r="U24" s="40">
        <v>-0.6</v>
      </c>
      <c r="V24" s="40">
        <v>1.8</v>
      </c>
      <c r="W24" s="40">
        <v>-0.3</v>
      </c>
      <c r="X24" s="40">
        <v>1.8</v>
      </c>
      <c r="Y24" s="40">
        <v>-11.6</v>
      </c>
      <c r="Z24" s="40">
        <v>6.2</v>
      </c>
      <c r="AA24" s="40">
        <v>3.9</v>
      </c>
      <c r="AB24" s="40">
        <v>-0.3</v>
      </c>
      <c r="AC24" s="40"/>
    </row>
    <row r="25" spans="1:29" x14ac:dyDescent="0.2">
      <c r="A25" s="49" t="s">
        <v>87</v>
      </c>
      <c r="B25" s="49" t="s">
        <v>417</v>
      </c>
      <c r="C25" s="49" t="s">
        <v>416</v>
      </c>
      <c r="D25" s="48">
        <v>4.5</v>
      </c>
      <c r="E25" s="48">
        <v>1.8</v>
      </c>
      <c r="F25" s="48">
        <v>1.7</v>
      </c>
      <c r="G25" s="48">
        <v>2.2000000000000002</v>
      </c>
      <c r="H25" s="48">
        <v>5.2</v>
      </c>
      <c r="I25" s="48">
        <v>3.9</v>
      </c>
      <c r="J25" s="48">
        <v>0.3</v>
      </c>
      <c r="K25" s="48">
        <v>0.2</v>
      </c>
      <c r="L25" s="48">
        <v>1.2</v>
      </c>
      <c r="M25" s="48">
        <v>-2.2999999999999998</v>
      </c>
      <c r="N25" s="48">
        <v>-7.7</v>
      </c>
      <c r="O25" s="48">
        <v>3.4</v>
      </c>
      <c r="P25" s="48">
        <v>2.1</v>
      </c>
      <c r="Q25" s="48">
        <v>0.9</v>
      </c>
      <c r="R25" s="48">
        <v>0.1</v>
      </c>
      <c r="S25" s="48">
        <v>2.4</v>
      </c>
      <c r="T25" s="48">
        <v>2.7</v>
      </c>
      <c r="U25" s="48">
        <v>2.5</v>
      </c>
      <c r="V25" s="48">
        <v>0.7</v>
      </c>
      <c r="W25" s="48">
        <v>-1.4</v>
      </c>
      <c r="X25" s="48">
        <v>0.6</v>
      </c>
      <c r="Y25" s="48">
        <v>-10.7</v>
      </c>
      <c r="Z25" s="48">
        <v>11.9</v>
      </c>
      <c r="AA25" s="48">
        <v>1.9</v>
      </c>
      <c r="AB25" s="48">
        <v>-2.2999999999999998</v>
      </c>
      <c r="AC25" s="40"/>
    </row>
    <row r="26" spans="1:29" x14ac:dyDescent="0.2">
      <c r="A26" s="45" t="s">
        <v>86</v>
      </c>
      <c r="B26" s="45" t="s">
        <v>415</v>
      </c>
      <c r="C26" s="45" t="s">
        <v>414</v>
      </c>
      <c r="D26" s="40">
        <v>5.9</v>
      </c>
      <c r="E26" s="40">
        <v>1.7</v>
      </c>
      <c r="F26" s="40">
        <v>2.2999999999999998</v>
      </c>
      <c r="G26" s="40">
        <v>2.7</v>
      </c>
      <c r="H26" s="40">
        <v>5.6</v>
      </c>
      <c r="I26" s="40">
        <v>3.3</v>
      </c>
      <c r="J26" s="40">
        <v>-0.4</v>
      </c>
      <c r="K26" s="40">
        <v>1.3</v>
      </c>
      <c r="L26" s="40">
        <v>1</v>
      </c>
      <c r="M26" s="40">
        <v>-1.4</v>
      </c>
      <c r="N26" s="40">
        <v>-6.2</v>
      </c>
      <c r="O26" s="40">
        <v>4.5</v>
      </c>
      <c r="P26" s="40">
        <v>1</v>
      </c>
      <c r="Q26" s="40">
        <v>5.3</v>
      </c>
      <c r="R26" s="40">
        <v>0.9</v>
      </c>
      <c r="S26" s="40">
        <v>3.8</v>
      </c>
      <c r="T26" s="40">
        <v>5.3</v>
      </c>
      <c r="U26" s="40">
        <v>1.3</v>
      </c>
      <c r="V26" s="40">
        <v>-0.1</v>
      </c>
      <c r="W26" s="40">
        <v>-0.4</v>
      </c>
      <c r="X26" s="40">
        <v>0.2</v>
      </c>
      <c r="Y26" s="40">
        <v>-11.2</v>
      </c>
      <c r="Z26" s="40">
        <v>16.5</v>
      </c>
      <c r="AA26" s="40">
        <v>4.5999999999999996</v>
      </c>
      <c r="AB26" s="40">
        <v>-2.5</v>
      </c>
      <c r="AC26" s="40"/>
    </row>
    <row r="27" spans="1:29" x14ac:dyDescent="0.2">
      <c r="A27" s="45" t="s">
        <v>86</v>
      </c>
      <c r="B27" s="45" t="s">
        <v>413</v>
      </c>
      <c r="C27" s="45" t="s">
        <v>412</v>
      </c>
      <c r="D27" s="40">
        <v>1.4</v>
      </c>
      <c r="E27" s="40">
        <v>-0.3</v>
      </c>
      <c r="F27" s="40">
        <v>2.1</v>
      </c>
      <c r="G27" s="40">
        <v>2.1</v>
      </c>
      <c r="H27" s="40">
        <v>4.0999999999999996</v>
      </c>
      <c r="I27" s="40">
        <v>4.0999999999999996</v>
      </c>
      <c r="J27" s="40">
        <v>-0.6</v>
      </c>
      <c r="K27" s="40">
        <v>0</v>
      </c>
      <c r="L27" s="40">
        <v>-1.4</v>
      </c>
      <c r="M27" s="40">
        <v>-3.2</v>
      </c>
      <c r="N27" s="40">
        <v>-6.5</v>
      </c>
      <c r="O27" s="40">
        <v>4.8</v>
      </c>
      <c r="P27" s="40">
        <v>1.7</v>
      </c>
      <c r="Q27" s="40">
        <v>0.4</v>
      </c>
      <c r="R27" s="40">
        <v>0.1</v>
      </c>
      <c r="S27" s="40">
        <v>1.2</v>
      </c>
      <c r="T27" s="40">
        <v>2.4</v>
      </c>
      <c r="U27" s="40">
        <v>3.6</v>
      </c>
      <c r="V27" s="40">
        <v>3.8</v>
      </c>
      <c r="W27" s="40">
        <v>1.5</v>
      </c>
      <c r="X27" s="40">
        <v>3.6</v>
      </c>
      <c r="Y27" s="40">
        <v>-17.8</v>
      </c>
      <c r="Z27" s="40">
        <v>10</v>
      </c>
      <c r="AA27" s="40">
        <v>7.9</v>
      </c>
      <c r="AB27" s="40">
        <v>-4.9000000000000004</v>
      </c>
      <c r="AC27" s="40"/>
    </row>
    <row r="28" spans="1:29" x14ac:dyDescent="0.2">
      <c r="A28" s="45" t="s">
        <v>86</v>
      </c>
      <c r="B28" s="45" t="s">
        <v>411</v>
      </c>
      <c r="C28" s="45" t="s">
        <v>410</v>
      </c>
      <c r="D28" s="40">
        <v>5</v>
      </c>
      <c r="E28" s="40">
        <v>-2.6</v>
      </c>
      <c r="F28" s="40">
        <v>1.9</v>
      </c>
      <c r="G28" s="40">
        <v>2.7</v>
      </c>
      <c r="H28" s="40">
        <v>7.3</v>
      </c>
      <c r="I28" s="40">
        <v>1.8</v>
      </c>
      <c r="J28" s="40">
        <v>-1</v>
      </c>
      <c r="K28" s="40">
        <v>0.1</v>
      </c>
      <c r="L28" s="40">
        <v>-1.6</v>
      </c>
      <c r="M28" s="40">
        <v>-4.2</v>
      </c>
      <c r="N28" s="40">
        <v>-10.8</v>
      </c>
      <c r="O28" s="40">
        <v>2.5</v>
      </c>
      <c r="P28" s="40">
        <v>1.4</v>
      </c>
      <c r="Q28" s="40">
        <v>1</v>
      </c>
      <c r="R28" s="40">
        <v>3.8</v>
      </c>
      <c r="S28" s="40">
        <v>0</v>
      </c>
      <c r="T28" s="40">
        <v>9.6999999999999993</v>
      </c>
      <c r="U28" s="40">
        <v>-0.1</v>
      </c>
      <c r="V28" s="40">
        <v>-1</v>
      </c>
      <c r="W28" s="40">
        <v>-0.2</v>
      </c>
      <c r="X28" s="40">
        <v>2.1</v>
      </c>
      <c r="Y28" s="40">
        <v>-10.6</v>
      </c>
      <c r="Z28" s="40">
        <v>9.1</v>
      </c>
      <c r="AA28" s="40">
        <v>2.1</v>
      </c>
      <c r="AB28" s="40">
        <v>-1.9</v>
      </c>
      <c r="AC28" s="40"/>
    </row>
    <row r="29" spans="1:29" x14ac:dyDescent="0.2">
      <c r="A29" s="45" t="s">
        <v>86</v>
      </c>
      <c r="B29" s="45" t="s">
        <v>409</v>
      </c>
      <c r="C29" s="45" t="s">
        <v>408</v>
      </c>
      <c r="D29" s="40">
        <v>4.9000000000000004</v>
      </c>
      <c r="E29" s="40">
        <v>4</v>
      </c>
      <c r="F29" s="40">
        <v>2</v>
      </c>
      <c r="G29" s="40">
        <v>1.1000000000000001</v>
      </c>
      <c r="H29" s="40">
        <v>5</v>
      </c>
      <c r="I29" s="40">
        <v>3.9</v>
      </c>
      <c r="J29" s="40">
        <v>0.5</v>
      </c>
      <c r="K29" s="40">
        <v>-0.5</v>
      </c>
      <c r="L29" s="40">
        <v>2.2000000000000002</v>
      </c>
      <c r="M29" s="40">
        <v>-2.5</v>
      </c>
      <c r="N29" s="40">
        <v>-8.1</v>
      </c>
      <c r="O29" s="40">
        <v>2.2000000000000002</v>
      </c>
      <c r="P29" s="40">
        <v>0.7</v>
      </c>
      <c r="Q29" s="40">
        <v>0.5</v>
      </c>
      <c r="R29" s="40">
        <v>0</v>
      </c>
      <c r="S29" s="40">
        <v>1.8</v>
      </c>
      <c r="T29" s="40">
        <v>2</v>
      </c>
      <c r="U29" s="40">
        <v>3.5</v>
      </c>
      <c r="V29" s="40">
        <v>0.5</v>
      </c>
      <c r="W29" s="40">
        <v>-3.9</v>
      </c>
      <c r="X29" s="40">
        <v>-1.2</v>
      </c>
      <c r="Y29" s="40">
        <v>-7.6</v>
      </c>
      <c r="Z29" s="40">
        <v>11.6</v>
      </c>
      <c r="AA29" s="40">
        <v>0.5</v>
      </c>
      <c r="AB29" s="40">
        <v>-2.7</v>
      </c>
      <c r="AC29" s="40"/>
    </row>
    <row r="30" spans="1:29" x14ac:dyDescent="0.2">
      <c r="A30" s="45" t="s">
        <v>86</v>
      </c>
      <c r="B30" s="45" t="s">
        <v>407</v>
      </c>
      <c r="C30" s="45" t="s">
        <v>406</v>
      </c>
      <c r="D30" s="40">
        <v>6.8</v>
      </c>
      <c r="E30" s="40">
        <v>2.8</v>
      </c>
      <c r="F30" s="40">
        <v>1.9</v>
      </c>
      <c r="G30" s="40">
        <v>2.5</v>
      </c>
      <c r="H30" s="40">
        <v>5.4</v>
      </c>
      <c r="I30" s="40">
        <v>4.8</v>
      </c>
      <c r="J30" s="40">
        <v>2</v>
      </c>
      <c r="K30" s="40">
        <v>2.6</v>
      </c>
      <c r="L30" s="40">
        <v>1.1000000000000001</v>
      </c>
      <c r="M30" s="40">
        <v>-2.6</v>
      </c>
      <c r="N30" s="40">
        <v>-7.9</v>
      </c>
      <c r="O30" s="40">
        <v>4.5</v>
      </c>
      <c r="P30" s="40">
        <v>3.4</v>
      </c>
      <c r="Q30" s="40">
        <v>0.5</v>
      </c>
      <c r="R30" s="40">
        <v>-1.2</v>
      </c>
      <c r="S30" s="40">
        <v>3.6</v>
      </c>
      <c r="T30" s="40">
        <v>0.5</v>
      </c>
      <c r="U30" s="40">
        <v>3.1</v>
      </c>
      <c r="V30" s="40">
        <v>0.9</v>
      </c>
      <c r="W30" s="40">
        <v>-0.1</v>
      </c>
      <c r="X30" s="40">
        <v>-0.4</v>
      </c>
      <c r="Y30" s="40">
        <v>-12.2</v>
      </c>
      <c r="Z30" s="40">
        <v>13.3</v>
      </c>
      <c r="AA30" s="40">
        <v>0.4</v>
      </c>
      <c r="AB30" s="40">
        <v>-3.1</v>
      </c>
      <c r="AC30" s="40"/>
    </row>
    <row r="31" spans="1:29" x14ac:dyDescent="0.2">
      <c r="A31" s="45" t="s">
        <v>86</v>
      </c>
      <c r="B31" s="45" t="s">
        <v>405</v>
      </c>
      <c r="C31" s="45" t="s">
        <v>404</v>
      </c>
      <c r="D31" s="40">
        <v>3.1</v>
      </c>
      <c r="E31" s="40">
        <v>1</v>
      </c>
      <c r="F31" s="40">
        <v>0.8</v>
      </c>
      <c r="G31" s="40">
        <v>3.3</v>
      </c>
      <c r="H31" s="40">
        <v>3.4</v>
      </c>
      <c r="I31" s="40">
        <v>2.9</v>
      </c>
      <c r="J31" s="40">
        <v>-1.5</v>
      </c>
      <c r="K31" s="40">
        <v>0.1</v>
      </c>
      <c r="L31" s="40">
        <v>0.6</v>
      </c>
      <c r="M31" s="40">
        <v>-1.2</v>
      </c>
      <c r="N31" s="40">
        <v>-3.1</v>
      </c>
      <c r="O31" s="40">
        <v>4.5</v>
      </c>
      <c r="P31" s="40">
        <v>0.8</v>
      </c>
      <c r="Q31" s="40">
        <v>-1</v>
      </c>
      <c r="R31" s="40">
        <v>-0.9</v>
      </c>
      <c r="S31" s="40">
        <v>2.8</v>
      </c>
      <c r="T31" s="40">
        <v>-0.3</v>
      </c>
      <c r="U31" s="40">
        <v>4.8</v>
      </c>
      <c r="V31" s="40">
        <v>0.9</v>
      </c>
      <c r="W31" s="40">
        <v>0.5</v>
      </c>
      <c r="X31" s="40">
        <v>4.0999999999999996</v>
      </c>
      <c r="Y31" s="40">
        <v>-11.6</v>
      </c>
      <c r="Z31" s="40">
        <v>13.6</v>
      </c>
      <c r="AA31" s="40">
        <v>2.2999999999999998</v>
      </c>
      <c r="AB31" s="40">
        <v>0.7</v>
      </c>
      <c r="AC31" s="40"/>
    </row>
    <row r="32" spans="1:29" x14ac:dyDescent="0.2">
      <c r="A32" s="49" t="s">
        <v>87</v>
      </c>
      <c r="B32" s="49" t="s">
        <v>403</v>
      </c>
      <c r="C32" s="49" t="s">
        <v>402</v>
      </c>
      <c r="D32" s="48">
        <v>4</v>
      </c>
      <c r="E32" s="48">
        <v>2.5</v>
      </c>
      <c r="F32" s="48">
        <v>9.6999999999999993</v>
      </c>
      <c r="G32" s="48">
        <v>1.7</v>
      </c>
      <c r="H32" s="48">
        <v>-0.5</v>
      </c>
      <c r="I32" s="48">
        <v>4.8</v>
      </c>
      <c r="J32" s="48">
        <v>2.7</v>
      </c>
      <c r="K32" s="48">
        <v>4.5</v>
      </c>
      <c r="L32" s="48">
        <v>1.5</v>
      </c>
      <c r="M32" s="48">
        <v>-4.0999999999999996</v>
      </c>
      <c r="N32" s="48">
        <v>-5.3</v>
      </c>
      <c r="O32" s="48">
        <v>3.8</v>
      </c>
      <c r="P32" s="48">
        <v>1.2</v>
      </c>
      <c r="Q32" s="48">
        <v>2.4</v>
      </c>
      <c r="R32" s="48">
        <v>0.8</v>
      </c>
      <c r="S32" s="48">
        <v>4.3</v>
      </c>
      <c r="T32" s="48">
        <v>0.5</v>
      </c>
      <c r="U32" s="48">
        <v>2</v>
      </c>
      <c r="V32" s="48">
        <v>1.2</v>
      </c>
      <c r="W32" s="48">
        <v>0</v>
      </c>
      <c r="X32" s="48">
        <v>1.4</v>
      </c>
      <c r="Y32" s="48">
        <v>-8.1999999999999993</v>
      </c>
      <c r="Z32" s="48">
        <v>5.4</v>
      </c>
      <c r="AA32" s="48">
        <v>2.4</v>
      </c>
      <c r="AB32" s="48">
        <v>-0.4</v>
      </c>
      <c r="AC32" s="40"/>
    </row>
    <row r="33" spans="1:29" x14ac:dyDescent="0.2">
      <c r="A33" s="45" t="s">
        <v>86</v>
      </c>
      <c r="B33" s="45" t="s">
        <v>401</v>
      </c>
      <c r="C33" s="45" t="s">
        <v>400</v>
      </c>
      <c r="D33" s="40">
        <v>3.1</v>
      </c>
      <c r="E33" s="40">
        <v>5.6</v>
      </c>
      <c r="F33" s="40">
        <v>9.5</v>
      </c>
      <c r="G33" s="40">
        <v>2.5</v>
      </c>
      <c r="H33" s="40">
        <v>2.6</v>
      </c>
      <c r="I33" s="40">
        <v>2.2000000000000002</v>
      </c>
      <c r="J33" s="40">
        <v>2.6</v>
      </c>
      <c r="K33" s="40">
        <v>3.1</v>
      </c>
      <c r="L33" s="40">
        <v>1.1000000000000001</v>
      </c>
      <c r="M33" s="40">
        <v>-5.4</v>
      </c>
      <c r="N33" s="40">
        <v>-6.5</v>
      </c>
      <c r="O33" s="40">
        <v>5.0999999999999996</v>
      </c>
      <c r="P33" s="40">
        <v>2.6</v>
      </c>
      <c r="Q33" s="40">
        <v>1.6</v>
      </c>
      <c r="R33" s="40">
        <v>3</v>
      </c>
      <c r="S33" s="40">
        <v>4.3</v>
      </c>
      <c r="T33" s="40">
        <v>4.9000000000000004</v>
      </c>
      <c r="U33" s="40">
        <v>3.6</v>
      </c>
      <c r="V33" s="40">
        <v>5.8</v>
      </c>
      <c r="W33" s="40">
        <v>-0.6</v>
      </c>
      <c r="X33" s="40">
        <v>4.5</v>
      </c>
      <c r="Y33" s="40">
        <v>-4.5</v>
      </c>
      <c r="Z33" s="40">
        <v>6.6</v>
      </c>
      <c r="AA33" s="40">
        <v>3.6</v>
      </c>
      <c r="AB33" s="40">
        <v>1.5</v>
      </c>
      <c r="AC33" s="40"/>
    </row>
    <row r="34" spans="1:29" x14ac:dyDescent="0.2">
      <c r="A34" s="45" t="s">
        <v>86</v>
      </c>
      <c r="B34" s="45" t="s">
        <v>399</v>
      </c>
      <c r="C34" s="45" t="s">
        <v>398</v>
      </c>
      <c r="D34" s="40">
        <v>4</v>
      </c>
      <c r="E34" s="40">
        <v>2.2999999999999998</v>
      </c>
      <c r="F34" s="40">
        <v>13.4</v>
      </c>
      <c r="G34" s="40">
        <v>0.8</v>
      </c>
      <c r="H34" s="40">
        <v>-5.4</v>
      </c>
      <c r="I34" s="40">
        <v>9.3000000000000007</v>
      </c>
      <c r="J34" s="40">
        <v>3.8</v>
      </c>
      <c r="K34" s="40">
        <v>4.4000000000000004</v>
      </c>
      <c r="L34" s="40">
        <v>-0.5</v>
      </c>
      <c r="M34" s="40">
        <v>-5.2</v>
      </c>
      <c r="N34" s="40">
        <v>-8.1999999999999993</v>
      </c>
      <c r="O34" s="40">
        <v>4.3</v>
      </c>
      <c r="P34" s="40">
        <v>3.5</v>
      </c>
      <c r="Q34" s="40">
        <v>4</v>
      </c>
      <c r="R34" s="40">
        <v>0.8</v>
      </c>
      <c r="S34" s="40">
        <v>4.3</v>
      </c>
      <c r="T34" s="40">
        <v>2.7</v>
      </c>
      <c r="U34" s="40">
        <v>0.7</v>
      </c>
      <c r="V34" s="40">
        <v>-2.6</v>
      </c>
      <c r="W34" s="40">
        <v>0.4</v>
      </c>
      <c r="X34" s="40">
        <v>0.4</v>
      </c>
      <c r="Y34" s="40">
        <v>-7</v>
      </c>
      <c r="Z34" s="40">
        <v>0.3</v>
      </c>
      <c r="AA34" s="40">
        <v>3.5</v>
      </c>
      <c r="AB34" s="40">
        <v>-1.8</v>
      </c>
      <c r="AC34" s="40"/>
    </row>
    <row r="35" spans="1:29" x14ac:dyDescent="0.2">
      <c r="A35" s="45" t="s">
        <v>86</v>
      </c>
      <c r="B35" s="45" t="s">
        <v>397</v>
      </c>
      <c r="C35" s="45" t="s">
        <v>396</v>
      </c>
      <c r="D35" s="40">
        <v>5.8</v>
      </c>
      <c r="E35" s="40">
        <v>0.6</v>
      </c>
      <c r="F35" s="40">
        <v>6</v>
      </c>
      <c r="G35" s="40">
        <v>1.9</v>
      </c>
      <c r="H35" s="40">
        <v>3.6</v>
      </c>
      <c r="I35" s="40">
        <v>1.2</v>
      </c>
      <c r="J35" s="40">
        <v>0.9</v>
      </c>
      <c r="K35" s="40">
        <v>6.2</v>
      </c>
      <c r="L35" s="40">
        <v>3.6</v>
      </c>
      <c r="M35" s="40">
        <v>-1.7</v>
      </c>
      <c r="N35" s="40">
        <v>-0.5</v>
      </c>
      <c r="O35" s="40">
        <v>0.9</v>
      </c>
      <c r="P35" s="40">
        <v>-2.2999999999999998</v>
      </c>
      <c r="Q35" s="40">
        <v>2.1</v>
      </c>
      <c r="R35" s="40">
        <v>-0.9</v>
      </c>
      <c r="S35" s="40">
        <v>4.4000000000000004</v>
      </c>
      <c r="T35" s="40">
        <v>-4.4000000000000004</v>
      </c>
      <c r="U35" s="40">
        <v>2.8</v>
      </c>
      <c r="V35" s="40">
        <v>3.2</v>
      </c>
      <c r="W35" s="40">
        <v>0</v>
      </c>
      <c r="X35" s="40">
        <v>0.5</v>
      </c>
      <c r="Y35" s="40">
        <v>-12.2</v>
      </c>
      <c r="Z35" s="40">
        <v>10.1</v>
      </c>
      <c r="AA35" s="40">
        <v>0.6</v>
      </c>
      <c r="AB35" s="40">
        <v>0.1</v>
      </c>
      <c r="AC35" s="40"/>
    </row>
    <row r="36" spans="1:29" x14ac:dyDescent="0.2">
      <c r="A36" s="49" t="s">
        <v>87</v>
      </c>
      <c r="B36" s="49" t="s">
        <v>395</v>
      </c>
      <c r="C36" s="49" t="s">
        <v>394</v>
      </c>
      <c r="D36" s="48">
        <v>5.2</v>
      </c>
      <c r="E36" s="48">
        <v>3.6</v>
      </c>
      <c r="F36" s="48">
        <v>3.6</v>
      </c>
      <c r="G36" s="48">
        <v>2.7</v>
      </c>
      <c r="H36" s="48">
        <v>4.8</v>
      </c>
      <c r="I36" s="48">
        <v>2.4</v>
      </c>
      <c r="J36" s="48">
        <v>0.8</v>
      </c>
      <c r="K36" s="48">
        <v>4.0999999999999996</v>
      </c>
      <c r="L36" s="48">
        <v>-1</v>
      </c>
      <c r="M36" s="48">
        <v>0.5</v>
      </c>
      <c r="N36" s="48">
        <v>-2.4</v>
      </c>
      <c r="O36" s="48">
        <v>3</v>
      </c>
      <c r="P36" s="48">
        <v>-0.6</v>
      </c>
      <c r="Q36" s="48">
        <v>-1.8</v>
      </c>
      <c r="R36" s="48">
        <v>1.6</v>
      </c>
      <c r="S36" s="48">
        <v>3.2</v>
      </c>
      <c r="T36" s="48">
        <v>1.5</v>
      </c>
      <c r="U36" s="48">
        <v>-1.1000000000000001</v>
      </c>
      <c r="V36" s="48">
        <v>2.6</v>
      </c>
      <c r="W36" s="48">
        <v>0.1</v>
      </c>
      <c r="X36" s="48">
        <v>2.7</v>
      </c>
      <c r="Y36" s="48">
        <v>-12.4</v>
      </c>
      <c r="Z36" s="48">
        <v>13.8</v>
      </c>
      <c r="AA36" s="48">
        <v>2.4</v>
      </c>
      <c r="AB36" s="48">
        <v>-1.5</v>
      </c>
      <c r="AC36" s="40"/>
    </row>
    <row r="37" spans="1:29" x14ac:dyDescent="0.2">
      <c r="A37" s="45" t="s">
        <v>86</v>
      </c>
      <c r="B37" s="45" t="s">
        <v>393</v>
      </c>
      <c r="C37" s="45" t="s">
        <v>392</v>
      </c>
      <c r="D37" s="40">
        <v>6.2</v>
      </c>
      <c r="E37" s="40">
        <v>5.0999999999999996</v>
      </c>
      <c r="F37" s="40">
        <v>4.3</v>
      </c>
      <c r="G37" s="40">
        <v>2.8</v>
      </c>
      <c r="H37" s="40">
        <v>5.0999999999999996</v>
      </c>
      <c r="I37" s="40">
        <v>1.6</v>
      </c>
      <c r="J37" s="40">
        <v>0.9</v>
      </c>
      <c r="K37" s="40">
        <v>5.3</v>
      </c>
      <c r="L37" s="40">
        <v>-0.5</v>
      </c>
      <c r="M37" s="40">
        <v>1.3</v>
      </c>
      <c r="N37" s="40">
        <v>-3.6</v>
      </c>
      <c r="O37" s="40">
        <v>5</v>
      </c>
      <c r="P37" s="40">
        <v>0.3</v>
      </c>
      <c r="Q37" s="40">
        <v>-1.9</v>
      </c>
      <c r="R37" s="40">
        <v>3.2</v>
      </c>
      <c r="S37" s="40">
        <v>4.8</v>
      </c>
      <c r="T37" s="40">
        <v>2.6</v>
      </c>
      <c r="U37" s="40">
        <v>-0.7</v>
      </c>
      <c r="V37" s="40">
        <v>2.7</v>
      </c>
      <c r="W37" s="40">
        <v>0.4</v>
      </c>
      <c r="X37" s="40">
        <v>1</v>
      </c>
      <c r="Y37" s="40">
        <v>-13.3</v>
      </c>
      <c r="Z37" s="40">
        <v>13.3</v>
      </c>
      <c r="AA37" s="40">
        <v>-0.6</v>
      </c>
      <c r="AB37" s="40">
        <v>-1.6</v>
      </c>
      <c r="AC37" s="40"/>
    </row>
    <row r="38" spans="1:29" x14ac:dyDescent="0.2">
      <c r="A38" s="45" t="s">
        <v>86</v>
      </c>
      <c r="B38" s="45" t="s">
        <v>391</v>
      </c>
      <c r="C38" s="45" t="s">
        <v>390</v>
      </c>
      <c r="D38" s="40">
        <v>4.2</v>
      </c>
      <c r="E38" s="40">
        <v>4.5999999999999996</v>
      </c>
      <c r="F38" s="40">
        <v>3.2</v>
      </c>
      <c r="G38" s="40">
        <v>1.6</v>
      </c>
      <c r="H38" s="40">
        <v>5.3</v>
      </c>
      <c r="I38" s="40">
        <v>2.2000000000000002</v>
      </c>
      <c r="J38" s="40">
        <v>1.6</v>
      </c>
      <c r="K38" s="40">
        <v>3.6</v>
      </c>
      <c r="L38" s="40">
        <v>-1</v>
      </c>
      <c r="M38" s="40">
        <v>1.2</v>
      </c>
      <c r="N38" s="40">
        <v>-2.2999999999999998</v>
      </c>
      <c r="O38" s="40">
        <v>1.1000000000000001</v>
      </c>
      <c r="P38" s="40">
        <v>-1.5</v>
      </c>
      <c r="Q38" s="40">
        <v>-3</v>
      </c>
      <c r="R38" s="40">
        <v>0.1</v>
      </c>
      <c r="S38" s="40">
        <v>3.1</v>
      </c>
      <c r="T38" s="40">
        <v>0</v>
      </c>
      <c r="U38" s="40">
        <v>-1.8</v>
      </c>
      <c r="V38" s="40">
        <v>2.1</v>
      </c>
      <c r="W38" s="40">
        <v>-0.3</v>
      </c>
      <c r="X38" s="40">
        <v>5.3</v>
      </c>
      <c r="Y38" s="40">
        <v>-12.7</v>
      </c>
      <c r="Z38" s="40">
        <v>15.6</v>
      </c>
      <c r="AA38" s="40">
        <v>4.3</v>
      </c>
      <c r="AB38" s="40">
        <v>-1.6</v>
      </c>
      <c r="AC38" s="40"/>
    </row>
    <row r="39" spans="1:29" x14ac:dyDescent="0.2">
      <c r="A39" s="45" t="s">
        <v>86</v>
      </c>
      <c r="B39" s="45" t="s">
        <v>389</v>
      </c>
      <c r="C39" s="45" t="s">
        <v>388</v>
      </c>
      <c r="D39" s="40">
        <v>4.7</v>
      </c>
      <c r="E39" s="40">
        <v>1.3</v>
      </c>
      <c r="F39" s="40">
        <v>3.3</v>
      </c>
      <c r="G39" s="40">
        <v>4.2</v>
      </c>
      <c r="H39" s="40">
        <v>2.8</v>
      </c>
      <c r="I39" s="40">
        <v>2.7</v>
      </c>
      <c r="J39" s="40">
        <v>-0.6</v>
      </c>
      <c r="K39" s="40">
        <v>3.5</v>
      </c>
      <c r="L39" s="40">
        <v>-1.7</v>
      </c>
      <c r="M39" s="40">
        <v>-1.1000000000000001</v>
      </c>
      <c r="N39" s="40">
        <v>-1.9</v>
      </c>
      <c r="O39" s="40">
        <v>3.2</v>
      </c>
      <c r="P39" s="40">
        <v>-2</v>
      </c>
      <c r="Q39" s="40">
        <v>-2</v>
      </c>
      <c r="R39" s="40">
        <v>1.1000000000000001</v>
      </c>
      <c r="S39" s="40">
        <v>1.1000000000000001</v>
      </c>
      <c r="T39" s="40">
        <v>0.6</v>
      </c>
      <c r="U39" s="40">
        <v>2</v>
      </c>
      <c r="V39" s="40">
        <v>2.4</v>
      </c>
      <c r="W39" s="40">
        <v>-0.1</v>
      </c>
      <c r="X39" s="40">
        <v>-0.9</v>
      </c>
      <c r="Y39" s="40">
        <v>-11.2</v>
      </c>
      <c r="Z39" s="40">
        <v>15.2</v>
      </c>
      <c r="AA39" s="40">
        <v>0.1</v>
      </c>
      <c r="AB39" s="40">
        <v>-2.9</v>
      </c>
      <c r="AC39" s="40"/>
    </row>
    <row r="40" spans="1:29" x14ac:dyDescent="0.2">
      <c r="A40" s="45" t="s">
        <v>86</v>
      </c>
      <c r="B40" s="45" t="s">
        <v>387</v>
      </c>
      <c r="C40" s="45" t="s">
        <v>386</v>
      </c>
      <c r="D40" s="40">
        <v>6</v>
      </c>
      <c r="E40" s="40">
        <v>1.3</v>
      </c>
      <c r="F40" s="40">
        <v>2.9</v>
      </c>
      <c r="G40" s="40">
        <v>3.2</v>
      </c>
      <c r="H40" s="40">
        <v>3.9</v>
      </c>
      <c r="I40" s="40">
        <v>4.0999999999999996</v>
      </c>
      <c r="J40" s="40">
        <v>-2.2000000000000002</v>
      </c>
      <c r="K40" s="40">
        <v>3.4</v>
      </c>
      <c r="L40" s="40">
        <v>-2.7</v>
      </c>
      <c r="M40" s="40">
        <v>-2.1</v>
      </c>
      <c r="N40" s="40">
        <v>-1.8</v>
      </c>
      <c r="O40" s="40">
        <v>1.9</v>
      </c>
      <c r="P40" s="40">
        <v>-0.5</v>
      </c>
      <c r="Q40" s="40">
        <v>-0.3</v>
      </c>
      <c r="R40" s="40">
        <v>1.1000000000000001</v>
      </c>
      <c r="S40" s="40">
        <v>2.4</v>
      </c>
      <c r="T40" s="40">
        <v>3.2</v>
      </c>
      <c r="U40" s="40">
        <v>-2</v>
      </c>
      <c r="V40" s="40">
        <v>2.6</v>
      </c>
      <c r="W40" s="40">
        <v>0.4</v>
      </c>
      <c r="X40" s="40">
        <v>2.5</v>
      </c>
      <c r="Y40" s="40">
        <v>-11</v>
      </c>
      <c r="Z40" s="40">
        <v>9.1999999999999993</v>
      </c>
      <c r="AA40" s="40">
        <v>3.8</v>
      </c>
      <c r="AB40" s="40">
        <v>-0.1</v>
      </c>
      <c r="AC40" s="40"/>
    </row>
    <row r="41" spans="1:29" x14ac:dyDescent="0.2">
      <c r="A41" s="51" t="s">
        <v>88</v>
      </c>
      <c r="B41" s="51" t="s">
        <v>385</v>
      </c>
      <c r="C41" s="51" t="s">
        <v>384</v>
      </c>
      <c r="D41" s="50">
        <v>3.4</v>
      </c>
      <c r="E41" s="50">
        <v>3</v>
      </c>
      <c r="F41" s="50">
        <v>2.9</v>
      </c>
      <c r="G41" s="50">
        <v>2.4</v>
      </c>
      <c r="H41" s="50">
        <v>3.5</v>
      </c>
      <c r="I41" s="50">
        <v>2.4</v>
      </c>
      <c r="J41" s="50">
        <v>0.7</v>
      </c>
      <c r="K41" s="50">
        <v>1.7</v>
      </c>
      <c r="L41" s="50">
        <v>2.2999999999999998</v>
      </c>
      <c r="M41" s="50">
        <v>-3.6</v>
      </c>
      <c r="N41" s="50">
        <v>-5.8</v>
      </c>
      <c r="O41" s="50">
        <v>0.9</v>
      </c>
      <c r="P41" s="50">
        <v>1.8</v>
      </c>
      <c r="Q41" s="50">
        <v>1</v>
      </c>
      <c r="R41" s="50">
        <v>0.7</v>
      </c>
      <c r="S41" s="50">
        <v>1.7</v>
      </c>
      <c r="T41" s="50">
        <v>2.7</v>
      </c>
      <c r="U41" s="50">
        <v>0.8</v>
      </c>
      <c r="V41" s="50">
        <v>2.5</v>
      </c>
      <c r="W41" s="50">
        <v>1.1000000000000001</v>
      </c>
      <c r="X41" s="50">
        <v>0.5</v>
      </c>
      <c r="Y41" s="50">
        <v>-10.6</v>
      </c>
      <c r="Z41" s="50">
        <v>12.8</v>
      </c>
      <c r="AA41" s="50">
        <v>2.6</v>
      </c>
      <c r="AB41" s="50">
        <v>-1.9</v>
      </c>
      <c r="AC41" s="43"/>
    </row>
    <row r="42" spans="1:29" x14ac:dyDescent="0.2">
      <c r="A42" s="49" t="s">
        <v>87</v>
      </c>
      <c r="B42" s="49" t="s">
        <v>383</v>
      </c>
      <c r="C42" s="49" t="s">
        <v>382</v>
      </c>
      <c r="D42" s="48">
        <v>1.8</v>
      </c>
      <c r="E42" s="48">
        <v>4.7</v>
      </c>
      <c r="F42" s="48">
        <v>2.7</v>
      </c>
      <c r="G42" s="48">
        <v>3.3</v>
      </c>
      <c r="H42" s="48">
        <v>3.5</v>
      </c>
      <c r="I42" s="48">
        <v>1.8</v>
      </c>
      <c r="J42" s="48">
        <v>-0.7</v>
      </c>
      <c r="K42" s="48">
        <v>4.5</v>
      </c>
      <c r="L42" s="48">
        <v>-0.6</v>
      </c>
      <c r="M42" s="48">
        <v>-1.2</v>
      </c>
      <c r="N42" s="48">
        <v>-5.4</v>
      </c>
      <c r="O42" s="48">
        <v>-2.2999999999999998</v>
      </c>
      <c r="P42" s="48">
        <v>-2.2000000000000002</v>
      </c>
      <c r="Q42" s="48">
        <v>0.7</v>
      </c>
      <c r="R42" s="48">
        <v>1.6</v>
      </c>
      <c r="S42" s="48">
        <v>2.6</v>
      </c>
      <c r="T42" s="48">
        <v>5.2</v>
      </c>
      <c r="U42" s="48">
        <v>1.3</v>
      </c>
      <c r="V42" s="48">
        <v>1.4</v>
      </c>
      <c r="W42" s="48">
        <v>1.5</v>
      </c>
      <c r="X42" s="48">
        <v>1.5</v>
      </c>
      <c r="Y42" s="48">
        <v>-11.1</v>
      </c>
      <c r="Z42" s="48">
        <v>19.5</v>
      </c>
      <c r="AA42" s="48">
        <v>-2.8</v>
      </c>
      <c r="AB42" s="48">
        <v>-2.9</v>
      </c>
      <c r="AC42" s="40"/>
    </row>
    <row r="43" spans="1:29" x14ac:dyDescent="0.2">
      <c r="A43" s="45" t="s">
        <v>86</v>
      </c>
      <c r="B43" s="45" t="s">
        <v>381</v>
      </c>
      <c r="C43" s="45" t="s">
        <v>380</v>
      </c>
      <c r="D43" s="40">
        <v>4.7</v>
      </c>
      <c r="E43" s="40">
        <v>5.7</v>
      </c>
      <c r="F43" s="40">
        <v>5.0999999999999996</v>
      </c>
      <c r="G43" s="40">
        <v>3.4</v>
      </c>
      <c r="H43" s="40">
        <v>4.4000000000000004</v>
      </c>
      <c r="I43" s="40">
        <v>0.8</v>
      </c>
      <c r="J43" s="40">
        <v>0.2</v>
      </c>
      <c r="K43" s="40">
        <v>6.7</v>
      </c>
      <c r="L43" s="40">
        <v>1</v>
      </c>
      <c r="M43" s="40">
        <v>4.0999999999999996</v>
      </c>
      <c r="N43" s="40">
        <v>-6.6</v>
      </c>
      <c r="O43" s="40">
        <v>-3.5</v>
      </c>
      <c r="P43" s="40">
        <v>-3.3</v>
      </c>
      <c r="Q43" s="40">
        <v>-0.1</v>
      </c>
      <c r="R43" s="40">
        <v>-0.6</v>
      </c>
      <c r="S43" s="40">
        <v>-0.7</v>
      </c>
      <c r="T43" s="40">
        <v>3.2</v>
      </c>
      <c r="U43" s="40">
        <v>-0.1</v>
      </c>
      <c r="V43" s="40">
        <v>1.4</v>
      </c>
      <c r="W43" s="40">
        <v>1.6</v>
      </c>
      <c r="X43" s="40">
        <v>-0.7</v>
      </c>
      <c r="Y43" s="40">
        <v>-15.4</v>
      </c>
      <c r="Z43" s="40">
        <v>19.5</v>
      </c>
      <c r="AA43" s="40">
        <v>-1.1000000000000001</v>
      </c>
      <c r="AB43" s="40">
        <v>-0.9</v>
      </c>
      <c r="AC43" s="40"/>
    </row>
    <row r="44" spans="1:29" x14ac:dyDescent="0.2">
      <c r="A44" s="45" t="s">
        <v>86</v>
      </c>
      <c r="B44" s="45" t="s">
        <v>379</v>
      </c>
      <c r="C44" s="45" t="s">
        <v>378</v>
      </c>
      <c r="D44" s="40">
        <v>1</v>
      </c>
      <c r="E44" s="40">
        <v>3</v>
      </c>
      <c r="F44" s="40">
        <v>3.5</v>
      </c>
      <c r="G44" s="40">
        <v>4.0999999999999996</v>
      </c>
      <c r="H44" s="40">
        <v>3.1</v>
      </c>
      <c r="I44" s="40">
        <v>3.7</v>
      </c>
      <c r="J44" s="40">
        <v>0.3</v>
      </c>
      <c r="K44" s="40">
        <v>2.4</v>
      </c>
      <c r="L44" s="40">
        <v>-3.3</v>
      </c>
      <c r="M44" s="40">
        <v>-3.7</v>
      </c>
      <c r="N44" s="40">
        <v>-7.6</v>
      </c>
      <c r="O44" s="40">
        <v>-1.9</v>
      </c>
      <c r="P44" s="40">
        <v>0</v>
      </c>
      <c r="Q44" s="40">
        <v>0.7</v>
      </c>
      <c r="R44" s="40">
        <v>1.7</v>
      </c>
      <c r="S44" s="40">
        <v>3.9</v>
      </c>
      <c r="T44" s="40">
        <v>3.5</v>
      </c>
      <c r="U44" s="40">
        <v>-0.2</v>
      </c>
      <c r="V44" s="40">
        <v>2.2000000000000002</v>
      </c>
      <c r="W44" s="40">
        <v>3.6</v>
      </c>
      <c r="X44" s="40">
        <v>2.2000000000000002</v>
      </c>
      <c r="Y44" s="40">
        <v>-9.3000000000000007</v>
      </c>
      <c r="Z44" s="40">
        <v>14.7</v>
      </c>
      <c r="AA44" s="40">
        <v>-1</v>
      </c>
      <c r="AB44" s="40">
        <v>-2</v>
      </c>
      <c r="AC44" s="40"/>
    </row>
    <row r="45" spans="1:29" x14ac:dyDescent="0.2">
      <c r="A45" s="45" t="s">
        <v>86</v>
      </c>
      <c r="B45" s="45" t="s">
        <v>377</v>
      </c>
      <c r="C45" s="45" t="s">
        <v>376</v>
      </c>
      <c r="D45" s="40">
        <v>0.6</v>
      </c>
      <c r="E45" s="40">
        <v>5.3</v>
      </c>
      <c r="F45" s="40">
        <v>0.5</v>
      </c>
      <c r="G45" s="40">
        <v>2.2000000000000002</v>
      </c>
      <c r="H45" s="40">
        <v>3.1</v>
      </c>
      <c r="I45" s="40">
        <v>2.5</v>
      </c>
      <c r="J45" s="40">
        <v>-0.3</v>
      </c>
      <c r="K45" s="40">
        <v>2.6</v>
      </c>
      <c r="L45" s="40">
        <v>1</v>
      </c>
      <c r="M45" s="40">
        <v>-2.6</v>
      </c>
      <c r="N45" s="40">
        <v>-4.7</v>
      </c>
      <c r="O45" s="40">
        <v>-1.1000000000000001</v>
      </c>
      <c r="P45" s="40">
        <v>-4.2</v>
      </c>
      <c r="Q45" s="40">
        <v>1.2</v>
      </c>
      <c r="R45" s="40">
        <v>1.1000000000000001</v>
      </c>
      <c r="S45" s="40">
        <v>4.3</v>
      </c>
      <c r="T45" s="40">
        <v>6.9</v>
      </c>
      <c r="U45" s="40">
        <v>3.2</v>
      </c>
      <c r="V45" s="40">
        <v>1.2</v>
      </c>
      <c r="W45" s="40">
        <v>0.2</v>
      </c>
      <c r="X45" s="40">
        <v>1.2</v>
      </c>
      <c r="Y45" s="40">
        <v>-9.6</v>
      </c>
      <c r="Z45" s="40">
        <v>25.5</v>
      </c>
      <c r="AA45" s="40">
        <v>-5.5</v>
      </c>
      <c r="AB45" s="40">
        <v>-5.2</v>
      </c>
      <c r="AC45" s="40"/>
    </row>
    <row r="46" spans="1:29" x14ac:dyDescent="0.2">
      <c r="A46" s="49" t="s">
        <v>87</v>
      </c>
      <c r="B46" s="49" t="s">
        <v>375</v>
      </c>
      <c r="C46" s="49" t="s">
        <v>371</v>
      </c>
      <c r="D46" s="48">
        <v>2.2999999999999998</v>
      </c>
      <c r="E46" s="48">
        <v>2.4</v>
      </c>
      <c r="F46" s="48">
        <v>2.7</v>
      </c>
      <c r="G46" s="48">
        <v>4.7</v>
      </c>
      <c r="H46" s="48">
        <v>2.6</v>
      </c>
      <c r="I46" s="48">
        <v>1.7</v>
      </c>
      <c r="J46" s="48">
        <v>-0.2</v>
      </c>
      <c r="K46" s="48">
        <v>-0.4</v>
      </c>
      <c r="L46" s="48">
        <v>1.4</v>
      </c>
      <c r="M46" s="48">
        <v>-3</v>
      </c>
      <c r="N46" s="48">
        <v>-6.6</v>
      </c>
      <c r="O46" s="48">
        <v>1.1000000000000001</v>
      </c>
      <c r="P46" s="48">
        <v>4</v>
      </c>
      <c r="Q46" s="48">
        <v>-0.6</v>
      </c>
      <c r="R46" s="48">
        <v>0.6</v>
      </c>
      <c r="S46" s="48">
        <v>1.4</v>
      </c>
      <c r="T46" s="48">
        <v>-0.5</v>
      </c>
      <c r="U46" s="48">
        <v>2.7</v>
      </c>
      <c r="V46" s="48">
        <v>3.7</v>
      </c>
      <c r="W46" s="48">
        <v>-1</v>
      </c>
      <c r="X46" s="48">
        <v>0.6</v>
      </c>
      <c r="Y46" s="48">
        <v>-10.6</v>
      </c>
      <c r="Z46" s="48">
        <v>13.1</v>
      </c>
      <c r="AA46" s="48">
        <v>3.4</v>
      </c>
      <c r="AB46" s="48">
        <v>-0.6</v>
      </c>
      <c r="AC46" s="40"/>
    </row>
    <row r="47" spans="1:29" x14ac:dyDescent="0.2">
      <c r="A47" s="45" t="s">
        <v>86</v>
      </c>
      <c r="B47" s="45" t="s">
        <v>374</v>
      </c>
      <c r="C47" s="45" t="s">
        <v>373</v>
      </c>
      <c r="D47" s="40">
        <v>2.7</v>
      </c>
      <c r="E47" s="40">
        <v>2.6</v>
      </c>
      <c r="F47" s="40">
        <v>0.9</v>
      </c>
      <c r="G47" s="40">
        <v>3.9</v>
      </c>
      <c r="H47" s="40">
        <v>2.7</v>
      </c>
      <c r="I47" s="40">
        <v>3.5</v>
      </c>
      <c r="J47" s="40">
        <v>-1.3</v>
      </c>
      <c r="K47" s="40">
        <v>-2.8</v>
      </c>
      <c r="L47" s="40">
        <v>2.6</v>
      </c>
      <c r="M47" s="40">
        <v>-3.7</v>
      </c>
      <c r="N47" s="40">
        <v>-7.6</v>
      </c>
      <c r="O47" s="40">
        <v>1.3</v>
      </c>
      <c r="P47" s="40">
        <v>1.4</v>
      </c>
      <c r="Q47" s="40">
        <v>-0.2</v>
      </c>
      <c r="R47" s="40">
        <v>-2.1</v>
      </c>
      <c r="S47" s="40">
        <v>1.1000000000000001</v>
      </c>
      <c r="T47" s="40">
        <v>-0.6</v>
      </c>
      <c r="U47" s="40">
        <v>3.5</v>
      </c>
      <c r="V47" s="40">
        <v>4.0999999999999996</v>
      </c>
      <c r="W47" s="40">
        <v>0.5</v>
      </c>
      <c r="X47" s="40">
        <v>-1.9</v>
      </c>
      <c r="Y47" s="40">
        <v>-13.4</v>
      </c>
      <c r="Z47" s="40">
        <v>15.9</v>
      </c>
      <c r="AA47" s="40">
        <v>7.2</v>
      </c>
      <c r="AB47" s="40">
        <v>-0.9</v>
      </c>
      <c r="AC47" s="40"/>
    </row>
    <row r="48" spans="1:29" x14ac:dyDescent="0.2">
      <c r="A48" s="45" t="s">
        <v>86</v>
      </c>
      <c r="B48" s="45" t="s">
        <v>372</v>
      </c>
      <c r="C48" s="45" t="s">
        <v>371</v>
      </c>
      <c r="D48" s="40">
        <v>2.6</v>
      </c>
      <c r="E48" s="40">
        <v>2.1</v>
      </c>
      <c r="F48" s="40">
        <v>3.6</v>
      </c>
      <c r="G48" s="40">
        <v>4.8</v>
      </c>
      <c r="H48" s="40">
        <v>2.5</v>
      </c>
      <c r="I48" s="40">
        <v>1.1000000000000001</v>
      </c>
      <c r="J48" s="40">
        <v>-0.4</v>
      </c>
      <c r="K48" s="40">
        <v>1.2</v>
      </c>
      <c r="L48" s="40">
        <v>0.4</v>
      </c>
      <c r="M48" s="40">
        <v>-3.3</v>
      </c>
      <c r="N48" s="40">
        <v>-6.1</v>
      </c>
      <c r="O48" s="40">
        <v>0.4</v>
      </c>
      <c r="P48" s="40">
        <v>4.0999999999999996</v>
      </c>
      <c r="Q48" s="40">
        <v>2.1</v>
      </c>
      <c r="R48" s="40">
        <v>2.2999999999999998</v>
      </c>
      <c r="S48" s="40">
        <v>1.2</v>
      </c>
      <c r="T48" s="40">
        <v>1</v>
      </c>
      <c r="U48" s="40">
        <v>2.7</v>
      </c>
      <c r="V48" s="40">
        <v>5</v>
      </c>
      <c r="W48" s="40">
        <v>-1.4</v>
      </c>
      <c r="X48" s="40">
        <v>1.5</v>
      </c>
      <c r="Y48" s="40">
        <v>-9.4</v>
      </c>
      <c r="Z48" s="40">
        <v>12.4</v>
      </c>
      <c r="AA48" s="40">
        <v>1.9</v>
      </c>
      <c r="AB48" s="40">
        <v>-0.4</v>
      </c>
      <c r="AC48" s="40"/>
    </row>
    <row r="49" spans="1:29" x14ac:dyDescent="0.2">
      <c r="A49" s="49" t="s">
        <v>87</v>
      </c>
      <c r="B49" s="49" t="s">
        <v>370</v>
      </c>
      <c r="C49" s="49" t="s">
        <v>369</v>
      </c>
      <c r="D49" s="48">
        <v>1.5</v>
      </c>
      <c r="E49" s="48">
        <v>3.5</v>
      </c>
      <c r="F49" s="48">
        <v>4.5</v>
      </c>
      <c r="G49" s="48">
        <v>2.2000000000000002</v>
      </c>
      <c r="H49" s="48">
        <v>3.1</v>
      </c>
      <c r="I49" s="48">
        <v>2.6</v>
      </c>
      <c r="J49" s="48">
        <v>-0.6</v>
      </c>
      <c r="K49" s="48">
        <v>2.2000000000000002</v>
      </c>
      <c r="L49" s="48">
        <v>2.8</v>
      </c>
      <c r="M49" s="48">
        <v>-5.6</v>
      </c>
      <c r="N49" s="48">
        <v>-6</v>
      </c>
      <c r="O49" s="48">
        <v>2.4</v>
      </c>
      <c r="P49" s="48">
        <v>2.2000000000000002</v>
      </c>
      <c r="Q49" s="48">
        <v>1.9</v>
      </c>
      <c r="R49" s="48">
        <v>0.6</v>
      </c>
      <c r="S49" s="48">
        <v>2.2999999999999998</v>
      </c>
      <c r="T49" s="48">
        <v>2.6</v>
      </c>
      <c r="U49" s="48">
        <v>0</v>
      </c>
      <c r="V49" s="48">
        <v>2.7</v>
      </c>
      <c r="W49" s="48">
        <v>-1</v>
      </c>
      <c r="X49" s="48">
        <v>1.8</v>
      </c>
      <c r="Y49" s="48">
        <v>-8.9</v>
      </c>
      <c r="Z49" s="48">
        <v>9.5</v>
      </c>
      <c r="AA49" s="48">
        <v>3.1</v>
      </c>
      <c r="AB49" s="48">
        <v>-2.5</v>
      </c>
      <c r="AC49" s="40"/>
    </row>
    <row r="50" spans="1:29" x14ac:dyDescent="0.2">
      <c r="A50" s="45" t="s">
        <v>86</v>
      </c>
      <c r="B50" s="45" t="s">
        <v>368</v>
      </c>
      <c r="C50" s="45" t="s">
        <v>367</v>
      </c>
      <c r="D50" s="40">
        <v>1.2</v>
      </c>
      <c r="E50" s="40">
        <v>4.8</v>
      </c>
      <c r="F50" s="40">
        <v>6.1</v>
      </c>
      <c r="G50" s="40">
        <v>3.2</v>
      </c>
      <c r="H50" s="40">
        <v>3.7</v>
      </c>
      <c r="I50" s="40">
        <v>2.2999999999999998</v>
      </c>
      <c r="J50" s="40">
        <v>-0.3</v>
      </c>
      <c r="K50" s="40">
        <v>1.6</v>
      </c>
      <c r="L50" s="40">
        <v>3.6</v>
      </c>
      <c r="M50" s="40">
        <v>-5.9</v>
      </c>
      <c r="N50" s="40">
        <v>-5</v>
      </c>
      <c r="O50" s="40">
        <v>0.5</v>
      </c>
      <c r="P50" s="40">
        <v>1.7</v>
      </c>
      <c r="Q50" s="40">
        <v>1.1000000000000001</v>
      </c>
      <c r="R50" s="40">
        <v>0.3</v>
      </c>
      <c r="S50" s="40">
        <v>1.6</v>
      </c>
      <c r="T50" s="40">
        <v>2.2000000000000002</v>
      </c>
      <c r="U50" s="40">
        <v>0.1</v>
      </c>
      <c r="V50" s="40">
        <v>0.6</v>
      </c>
      <c r="W50" s="40">
        <v>-0.8</v>
      </c>
      <c r="X50" s="40">
        <v>5.5</v>
      </c>
      <c r="Y50" s="40">
        <v>-7.7</v>
      </c>
      <c r="Z50" s="40">
        <v>10.5</v>
      </c>
      <c r="AA50" s="40">
        <v>3.3</v>
      </c>
      <c r="AB50" s="40">
        <v>-1.1000000000000001</v>
      </c>
      <c r="AC50" s="40"/>
    </row>
    <row r="51" spans="1:29" x14ac:dyDescent="0.2">
      <c r="A51" s="45" t="s">
        <v>86</v>
      </c>
      <c r="B51" s="45" t="s">
        <v>366</v>
      </c>
      <c r="C51" s="45" t="s">
        <v>365</v>
      </c>
      <c r="D51" s="40">
        <v>0.2</v>
      </c>
      <c r="E51" s="40">
        <v>3</v>
      </c>
      <c r="F51" s="40">
        <v>2.5</v>
      </c>
      <c r="G51" s="40">
        <v>0.9</v>
      </c>
      <c r="H51" s="40">
        <v>2.9</v>
      </c>
      <c r="I51" s="40">
        <v>4.5</v>
      </c>
      <c r="J51" s="40">
        <v>-1.3</v>
      </c>
      <c r="K51" s="40">
        <v>2.4</v>
      </c>
      <c r="L51" s="40">
        <v>1.9</v>
      </c>
      <c r="M51" s="40">
        <v>-6.5</v>
      </c>
      <c r="N51" s="40">
        <v>-7.1</v>
      </c>
      <c r="O51" s="40">
        <v>2.5</v>
      </c>
      <c r="P51" s="40">
        <v>2.9</v>
      </c>
      <c r="Q51" s="40">
        <v>1.4</v>
      </c>
      <c r="R51" s="40">
        <v>1.2</v>
      </c>
      <c r="S51" s="40">
        <v>2.6</v>
      </c>
      <c r="T51" s="40">
        <v>-0.4</v>
      </c>
      <c r="U51" s="40">
        <v>0</v>
      </c>
      <c r="V51" s="40">
        <v>2.4</v>
      </c>
      <c r="W51" s="40">
        <v>1.9</v>
      </c>
      <c r="X51" s="40">
        <v>1.4</v>
      </c>
      <c r="Y51" s="40">
        <v>-10.199999999999999</v>
      </c>
      <c r="Z51" s="40">
        <v>9.8000000000000007</v>
      </c>
      <c r="AA51" s="40">
        <v>3.7</v>
      </c>
      <c r="AB51" s="40">
        <v>-3</v>
      </c>
      <c r="AC51" s="40"/>
    </row>
    <row r="52" spans="1:29" x14ac:dyDescent="0.2">
      <c r="A52" s="45" t="s">
        <v>86</v>
      </c>
      <c r="B52" s="45" t="s">
        <v>364</v>
      </c>
      <c r="C52" s="45" t="s">
        <v>363</v>
      </c>
      <c r="D52" s="40">
        <v>1.5</v>
      </c>
      <c r="E52" s="40">
        <v>2.4</v>
      </c>
      <c r="F52" s="40">
        <v>3.1</v>
      </c>
      <c r="G52" s="40">
        <v>0.9</v>
      </c>
      <c r="H52" s="40">
        <v>2.8</v>
      </c>
      <c r="I52" s="40">
        <v>1.8</v>
      </c>
      <c r="J52" s="40">
        <v>-0.8</v>
      </c>
      <c r="K52" s="40">
        <v>1.3</v>
      </c>
      <c r="L52" s="40">
        <v>2.1</v>
      </c>
      <c r="M52" s="40">
        <v>-4.9000000000000004</v>
      </c>
      <c r="N52" s="40">
        <v>-7.8</v>
      </c>
      <c r="O52" s="40">
        <v>3.9</v>
      </c>
      <c r="P52" s="40">
        <v>3.2</v>
      </c>
      <c r="Q52" s="40">
        <v>4.2</v>
      </c>
      <c r="R52" s="40">
        <v>-1.7</v>
      </c>
      <c r="S52" s="40">
        <v>1.8</v>
      </c>
      <c r="T52" s="40">
        <v>3.4</v>
      </c>
      <c r="U52" s="40">
        <v>-0.1</v>
      </c>
      <c r="V52" s="40">
        <v>2.2999999999999998</v>
      </c>
      <c r="W52" s="40">
        <v>29.2</v>
      </c>
      <c r="X52" s="40">
        <v>0</v>
      </c>
      <c r="Y52" s="40">
        <v>-9.5</v>
      </c>
      <c r="Z52" s="40">
        <v>8.1</v>
      </c>
      <c r="AA52" s="40">
        <v>-0.2</v>
      </c>
      <c r="AB52" s="40">
        <v>-5.3</v>
      </c>
      <c r="AC52" s="40"/>
    </row>
    <row r="53" spans="1:29" x14ac:dyDescent="0.2">
      <c r="A53" s="45" t="s">
        <v>86</v>
      </c>
      <c r="B53" s="45" t="s">
        <v>362</v>
      </c>
      <c r="C53" s="45" t="s">
        <v>361</v>
      </c>
      <c r="D53" s="40">
        <v>1.2</v>
      </c>
      <c r="E53" s="40">
        <v>2.2999999999999998</v>
      </c>
      <c r="F53" s="40">
        <v>2.2000000000000002</v>
      </c>
      <c r="G53" s="40">
        <v>1</v>
      </c>
      <c r="H53" s="40">
        <v>2.6</v>
      </c>
      <c r="I53" s="40">
        <v>4.5999999999999996</v>
      </c>
      <c r="J53" s="40">
        <v>-1.2</v>
      </c>
      <c r="K53" s="40">
        <v>3.5</v>
      </c>
      <c r="L53" s="40">
        <v>1.5</v>
      </c>
      <c r="M53" s="40">
        <v>-5</v>
      </c>
      <c r="N53" s="40">
        <v>-8.1</v>
      </c>
      <c r="O53" s="40">
        <v>3.8</v>
      </c>
      <c r="P53" s="40">
        <v>1.1000000000000001</v>
      </c>
      <c r="Q53" s="40">
        <v>1.3</v>
      </c>
      <c r="R53" s="40">
        <v>1.4</v>
      </c>
      <c r="S53" s="40">
        <v>4.5999999999999996</v>
      </c>
      <c r="T53" s="40">
        <v>4.9000000000000004</v>
      </c>
      <c r="U53" s="40">
        <v>0.3</v>
      </c>
      <c r="V53" s="40">
        <v>33</v>
      </c>
      <c r="W53" s="40">
        <v>-1.9</v>
      </c>
      <c r="X53" s="40">
        <v>0.8</v>
      </c>
      <c r="Y53" s="40">
        <v>-10.4</v>
      </c>
      <c r="Z53" s="40">
        <v>8.3000000000000007</v>
      </c>
      <c r="AA53" s="40">
        <v>4.7</v>
      </c>
      <c r="AB53" s="40">
        <v>-3.2</v>
      </c>
      <c r="AC53" s="40"/>
    </row>
    <row r="54" spans="1:29" x14ac:dyDescent="0.2">
      <c r="A54" s="49" t="s">
        <v>87</v>
      </c>
      <c r="B54" s="49" t="s">
        <v>360</v>
      </c>
      <c r="C54" s="49" t="s">
        <v>359</v>
      </c>
      <c r="D54" s="48">
        <v>5.4</v>
      </c>
      <c r="E54" s="48">
        <v>2.4</v>
      </c>
      <c r="F54" s="48">
        <v>2.2999999999999998</v>
      </c>
      <c r="G54" s="48">
        <v>1.2</v>
      </c>
      <c r="H54" s="48">
        <v>4.0999999999999996</v>
      </c>
      <c r="I54" s="48">
        <v>2.8</v>
      </c>
      <c r="J54" s="48">
        <v>2.1</v>
      </c>
      <c r="K54" s="48">
        <v>1.2</v>
      </c>
      <c r="L54" s="48">
        <v>3.5</v>
      </c>
      <c r="M54" s="48">
        <v>-3.6</v>
      </c>
      <c r="N54" s="48">
        <v>-5.5</v>
      </c>
      <c r="O54" s="48">
        <v>1.3</v>
      </c>
      <c r="P54" s="48">
        <v>2.2000000000000002</v>
      </c>
      <c r="Q54" s="48">
        <v>1.2</v>
      </c>
      <c r="R54" s="48">
        <v>0.4</v>
      </c>
      <c r="S54" s="48">
        <v>1.1000000000000001</v>
      </c>
      <c r="T54" s="48">
        <v>3</v>
      </c>
      <c r="U54" s="48">
        <v>0.3</v>
      </c>
      <c r="V54" s="48">
        <v>2.2000000000000002</v>
      </c>
      <c r="W54" s="48">
        <v>2.7</v>
      </c>
      <c r="X54" s="48">
        <v>-0.5</v>
      </c>
      <c r="Y54" s="48">
        <v>-11.3</v>
      </c>
      <c r="Z54" s="48">
        <v>11.8</v>
      </c>
      <c r="AA54" s="48">
        <v>4.2</v>
      </c>
      <c r="AB54" s="48">
        <v>-1.6</v>
      </c>
      <c r="AC54" s="40"/>
    </row>
    <row r="55" spans="1:29" x14ac:dyDescent="0.2">
      <c r="A55" s="45" t="s">
        <v>86</v>
      </c>
      <c r="B55" s="45" t="s">
        <v>358</v>
      </c>
      <c r="C55" s="45" t="s">
        <v>357</v>
      </c>
      <c r="D55" s="40">
        <v>5</v>
      </c>
      <c r="E55" s="40">
        <v>1.3</v>
      </c>
      <c r="F55" s="40">
        <v>2.2999999999999998</v>
      </c>
      <c r="G55" s="40">
        <v>0.5</v>
      </c>
      <c r="H55" s="40">
        <v>2.2999999999999998</v>
      </c>
      <c r="I55" s="40">
        <v>2.9</v>
      </c>
      <c r="J55" s="40">
        <v>0.3</v>
      </c>
      <c r="K55" s="40">
        <v>1.6</v>
      </c>
      <c r="L55" s="40">
        <v>0.5</v>
      </c>
      <c r="M55" s="40">
        <v>-2.1</v>
      </c>
      <c r="N55" s="40">
        <v>-5.4</v>
      </c>
      <c r="O55" s="40">
        <v>-1</v>
      </c>
      <c r="P55" s="40">
        <v>2.2000000000000002</v>
      </c>
      <c r="Q55" s="40">
        <v>0.4</v>
      </c>
      <c r="R55" s="40">
        <v>-0.3</v>
      </c>
      <c r="S55" s="40">
        <v>-0.8</v>
      </c>
      <c r="T55" s="40">
        <v>1.8</v>
      </c>
      <c r="U55" s="40">
        <v>0.5</v>
      </c>
      <c r="V55" s="40">
        <v>3.1</v>
      </c>
      <c r="W55" s="40">
        <v>-0.7</v>
      </c>
      <c r="X55" s="40">
        <v>0.5</v>
      </c>
      <c r="Y55" s="40">
        <v>-9.6999999999999993</v>
      </c>
      <c r="Z55" s="40">
        <v>10.7</v>
      </c>
      <c r="AA55" s="40">
        <v>1.1000000000000001</v>
      </c>
      <c r="AB55" s="40">
        <v>-4.9000000000000004</v>
      </c>
      <c r="AC55" s="40"/>
    </row>
    <row r="56" spans="1:29" x14ac:dyDescent="0.2">
      <c r="A56" s="45" t="s">
        <v>86</v>
      </c>
      <c r="B56" s="45" t="s">
        <v>356</v>
      </c>
      <c r="C56" s="45" t="s">
        <v>355</v>
      </c>
      <c r="D56" s="40">
        <v>6.6</v>
      </c>
      <c r="E56" s="40">
        <v>4.0999999999999996</v>
      </c>
      <c r="F56" s="40">
        <v>2.4</v>
      </c>
      <c r="G56" s="40">
        <v>2.2999999999999998</v>
      </c>
      <c r="H56" s="40">
        <v>5.7</v>
      </c>
      <c r="I56" s="40">
        <v>3.6</v>
      </c>
      <c r="J56" s="40">
        <v>2.6</v>
      </c>
      <c r="K56" s="40">
        <v>1.5</v>
      </c>
      <c r="L56" s="40">
        <v>6.5</v>
      </c>
      <c r="M56" s="40">
        <v>-3.8</v>
      </c>
      <c r="N56" s="40">
        <v>-6.1</v>
      </c>
      <c r="O56" s="40">
        <v>2.2999999999999998</v>
      </c>
      <c r="P56" s="40">
        <v>1.9</v>
      </c>
      <c r="Q56" s="40">
        <v>0.9</v>
      </c>
      <c r="R56" s="40">
        <v>0.1</v>
      </c>
      <c r="S56" s="40">
        <v>0.6</v>
      </c>
      <c r="T56" s="40">
        <v>1.9</v>
      </c>
      <c r="U56" s="40">
        <v>-0.4</v>
      </c>
      <c r="V56" s="40">
        <v>1</v>
      </c>
      <c r="W56" s="40">
        <v>3.9</v>
      </c>
      <c r="X56" s="40">
        <v>0.3</v>
      </c>
      <c r="Y56" s="40">
        <v>-12.3</v>
      </c>
      <c r="Z56" s="40">
        <v>12.3</v>
      </c>
      <c r="AA56" s="40">
        <v>9.1</v>
      </c>
      <c r="AB56" s="40">
        <v>0.3</v>
      </c>
      <c r="AC56" s="40"/>
    </row>
    <row r="57" spans="1:29" x14ac:dyDescent="0.2">
      <c r="A57" s="45" t="s">
        <v>86</v>
      </c>
      <c r="B57" s="45" t="s">
        <v>354</v>
      </c>
      <c r="C57" s="45" t="s">
        <v>353</v>
      </c>
      <c r="D57" s="40">
        <v>4.2</v>
      </c>
      <c r="E57" s="40">
        <v>0.9</v>
      </c>
      <c r="F57" s="40">
        <v>1.6</v>
      </c>
      <c r="G57" s="40">
        <v>-0.5</v>
      </c>
      <c r="H57" s="40">
        <v>2.9</v>
      </c>
      <c r="I57" s="40">
        <v>2.5</v>
      </c>
      <c r="J57" s="40">
        <v>2.2999999999999998</v>
      </c>
      <c r="K57" s="40">
        <v>0.7</v>
      </c>
      <c r="L57" s="40">
        <v>2.9</v>
      </c>
      <c r="M57" s="40">
        <v>-5</v>
      </c>
      <c r="N57" s="40">
        <v>-5.7</v>
      </c>
      <c r="O57" s="40">
        <v>1.4</v>
      </c>
      <c r="P57" s="40">
        <v>1.4</v>
      </c>
      <c r="Q57" s="40">
        <v>1.3</v>
      </c>
      <c r="R57" s="40">
        <v>0.2</v>
      </c>
      <c r="S57" s="40">
        <v>5.2</v>
      </c>
      <c r="T57" s="40">
        <v>5.2</v>
      </c>
      <c r="U57" s="40">
        <v>-0.3</v>
      </c>
      <c r="V57" s="40">
        <v>4.9000000000000004</v>
      </c>
      <c r="W57" s="40">
        <v>3.3</v>
      </c>
      <c r="X57" s="40">
        <v>-1.6</v>
      </c>
      <c r="Y57" s="40">
        <v>-10.5</v>
      </c>
      <c r="Z57" s="40">
        <v>11.9</v>
      </c>
      <c r="AA57" s="40">
        <v>-3</v>
      </c>
      <c r="AB57" s="40">
        <v>-2.5</v>
      </c>
      <c r="AC57" s="40"/>
    </row>
    <row r="58" spans="1:29" x14ac:dyDescent="0.2">
      <c r="A58" s="45" t="s">
        <v>86</v>
      </c>
      <c r="B58" s="45" t="s">
        <v>352</v>
      </c>
      <c r="C58" s="45" t="s">
        <v>351</v>
      </c>
      <c r="D58" s="40">
        <v>5.0999999999999996</v>
      </c>
      <c r="E58" s="40">
        <v>1.8</v>
      </c>
      <c r="F58" s="40">
        <v>3.1</v>
      </c>
      <c r="G58" s="40">
        <v>0.1</v>
      </c>
      <c r="H58" s="40">
        <v>2.5</v>
      </c>
      <c r="I58" s="40">
        <v>1.4</v>
      </c>
      <c r="J58" s="40">
        <v>-0.8</v>
      </c>
      <c r="K58" s="40">
        <v>1.5</v>
      </c>
      <c r="L58" s="40">
        <v>-2.1</v>
      </c>
      <c r="M58" s="40">
        <v>-3.7</v>
      </c>
      <c r="N58" s="40">
        <v>-5.6</v>
      </c>
      <c r="O58" s="40">
        <v>-0.1</v>
      </c>
      <c r="P58" s="40">
        <v>2.1</v>
      </c>
      <c r="Q58" s="40">
        <v>0.3</v>
      </c>
      <c r="R58" s="40">
        <v>1.6</v>
      </c>
      <c r="S58" s="40">
        <v>-1.7</v>
      </c>
      <c r="T58" s="40">
        <v>3.8</v>
      </c>
      <c r="U58" s="40">
        <v>2.5</v>
      </c>
      <c r="V58" s="40">
        <v>0.6</v>
      </c>
      <c r="W58" s="40">
        <v>2.8</v>
      </c>
      <c r="X58" s="40">
        <v>-0.1</v>
      </c>
      <c r="Y58" s="40">
        <v>-11.5</v>
      </c>
      <c r="Z58" s="40">
        <v>10.4</v>
      </c>
      <c r="AA58" s="40">
        <v>3.9</v>
      </c>
      <c r="AB58" s="40">
        <v>-2.4</v>
      </c>
      <c r="AC58" s="40"/>
    </row>
    <row r="59" spans="1:29" x14ac:dyDescent="0.2">
      <c r="A59" s="51" t="s">
        <v>88</v>
      </c>
      <c r="B59" s="51" t="s">
        <v>350</v>
      </c>
      <c r="C59" s="51" t="s">
        <v>349</v>
      </c>
      <c r="D59" s="50">
        <v>2.7</v>
      </c>
      <c r="E59" s="50">
        <v>2.6</v>
      </c>
      <c r="F59" s="50">
        <v>2</v>
      </c>
      <c r="G59" s="50">
        <v>0.5</v>
      </c>
      <c r="H59" s="50">
        <v>2.2000000000000002</v>
      </c>
      <c r="I59" s="50">
        <v>1.9</v>
      </c>
      <c r="J59" s="50">
        <v>1.4</v>
      </c>
      <c r="K59" s="50">
        <v>2.8</v>
      </c>
      <c r="L59" s="50">
        <v>-0.3</v>
      </c>
      <c r="M59" s="50">
        <v>-1.2</v>
      </c>
      <c r="N59" s="50">
        <v>-6.6</v>
      </c>
      <c r="O59" s="50">
        <v>3.7</v>
      </c>
      <c r="P59" s="50">
        <v>1.6</v>
      </c>
      <c r="Q59" s="50">
        <v>0.8</v>
      </c>
      <c r="R59" s="50">
        <v>1.7</v>
      </c>
      <c r="S59" s="50">
        <v>1.5</v>
      </c>
      <c r="T59" s="50">
        <v>0.5</v>
      </c>
      <c r="U59" s="50">
        <v>0.5</v>
      </c>
      <c r="V59" s="50">
        <v>0.6</v>
      </c>
      <c r="W59" s="50">
        <v>1.3</v>
      </c>
      <c r="X59" s="50">
        <v>0.4</v>
      </c>
      <c r="Y59" s="50">
        <v>-9.8000000000000007</v>
      </c>
      <c r="Z59" s="50">
        <v>9.4</v>
      </c>
      <c r="AA59" s="50">
        <v>0.9</v>
      </c>
      <c r="AB59" s="50">
        <v>-2.2999999999999998</v>
      </c>
      <c r="AC59" s="43"/>
    </row>
    <row r="60" spans="1:29" x14ac:dyDescent="0.2">
      <c r="A60" s="49" t="s">
        <v>87</v>
      </c>
      <c r="B60" s="49" t="s">
        <v>348</v>
      </c>
      <c r="C60" s="49" t="s">
        <v>347</v>
      </c>
      <c r="D60" s="48">
        <v>3.4</v>
      </c>
      <c r="E60" s="48">
        <v>1.2</v>
      </c>
      <c r="F60" s="48">
        <v>2.2999999999999998</v>
      </c>
      <c r="G60" s="48">
        <v>0.9</v>
      </c>
      <c r="H60" s="48">
        <v>1.4</v>
      </c>
      <c r="I60" s="48">
        <v>3.5</v>
      </c>
      <c r="J60" s="48">
        <v>2.7</v>
      </c>
      <c r="K60" s="48">
        <v>1</v>
      </c>
      <c r="L60" s="48">
        <v>-0.6</v>
      </c>
      <c r="M60" s="48">
        <v>-1.7</v>
      </c>
      <c r="N60" s="48">
        <v>-6.7</v>
      </c>
      <c r="O60" s="48">
        <v>3.9</v>
      </c>
      <c r="P60" s="48">
        <v>3.3</v>
      </c>
      <c r="Q60" s="48">
        <v>1</v>
      </c>
      <c r="R60" s="48">
        <v>0.5</v>
      </c>
      <c r="S60" s="48">
        <v>0.8</v>
      </c>
      <c r="T60" s="48">
        <v>0.7</v>
      </c>
      <c r="U60" s="48">
        <v>0.6</v>
      </c>
      <c r="V60" s="48">
        <v>0.7</v>
      </c>
      <c r="W60" s="48">
        <v>1.5</v>
      </c>
      <c r="X60" s="48">
        <v>0.1</v>
      </c>
      <c r="Y60" s="48">
        <v>-7.1</v>
      </c>
      <c r="Z60" s="48">
        <v>6.8</v>
      </c>
      <c r="AA60" s="48">
        <v>1.4</v>
      </c>
      <c r="AB60" s="48">
        <v>-3</v>
      </c>
      <c r="AC60" s="40"/>
    </row>
    <row r="61" spans="1:29" x14ac:dyDescent="0.2">
      <c r="A61" s="45" t="s">
        <v>86</v>
      </c>
      <c r="B61" s="45" t="s">
        <v>346</v>
      </c>
      <c r="C61" s="45" t="s">
        <v>345</v>
      </c>
      <c r="D61" s="40">
        <v>7</v>
      </c>
      <c r="E61" s="40">
        <v>5.0999999999999996</v>
      </c>
      <c r="F61" s="40">
        <v>4.0999999999999996</v>
      </c>
      <c r="G61" s="40">
        <v>2.7</v>
      </c>
      <c r="H61" s="40">
        <v>1.5</v>
      </c>
      <c r="I61" s="40">
        <v>5.7</v>
      </c>
      <c r="J61" s="40">
        <v>5.6</v>
      </c>
      <c r="K61" s="40">
        <v>1.6</v>
      </c>
      <c r="L61" s="40">
        <v>-0.4</v>
      </c>
      <c r="M61" s="40">
        <v>-2.9</v>
      </c>
      <c r="N61" s="40">
        <v>-8.1999999999999993</v>
      </c>
      <c r="O61" s="40">
        <v>-1.5</v>
      </c>
      <c r="P61" s="40">
        <v>4</v>
      </c>
      <c r="Q61" s="40">
        <v>-3.3</v>
      </c>
      <c r="R61" s="40">
        <v>0.2</v>
      </c>
      <c r="S61" s="40">
        <v>-3.6</v>
      </c>
      <c r="T61" s="40">
        <v>-3.9</v>
      </c>
      <c r="U61" s="40">
        <v>-0.5</v>
      </c>
      <c r="V61" s="40">
        <v>-1.1000000000000001</v>
      </c>
      <c r="W61" s="40">
        <v>3.7</v>
      </c>
      <c r="X61" s="40">
        <v>1.8</v>
      </c>
      <c r="Y61" s="40">
        <v>-2.2000000000000002</v>
      </c>
      <c r="Z61" s="40">
        <v>8.1</v>
      </c>
      <c r="AA61" s="40">
        <v>-2.7</v>
      </c>
      <c r="AB61" s="40">
        <v>-1.9</v>
      </c>
      <c r="AC61" s="40"/>
    </row>
    <row r="62" spans="1:29" x14ac:dyDescent="0.2">
      <c r="A62" s="45" t="s">
        <v>86</v>
      </c>
      <c r="B62" s="45" t="s">
        <v>344</v>
      </c>
      <c r="C62" s="45" t="s">
        <v>343</v>
      </c>
      <c r="D62" s="40">
        <v>2.8</v>
      </c>
      <c r="E62" s="40">
        <v>2.7</v>
      </c>
      <c r="F62" s="40">
        <v>1.4</v>
      </c>
      <c r="G62" s="40">
        <v>0</v>
      </c>
      <c r="H62" s="40">
        <v>-0.1</v>
      </c>
      <c r="I62" s="40">
        <v>2.6</v>
      </c>
      <c r="J62" s="40">
        <v>3.6</v>
      </c>
      <c r="K62" s="40">
        <v>1.6</v>
      </c>
      <c r="L62" s="40">
        <v>-1</v>
      </c>
      <c r="M62" s="40">
        <v>-1.1000000000000001</v>
      </c>
      <c r="N62" s="40">
        <v>-6</v>
      </c>
      <c r="O62" s="40">
        <v>4.4000000000000004</v>
      </c>
      <c r="P62" s="40">
        <v>1.9</v>
      </c>
      <c r="Q62" s="40">
        <v>3.2</v>
      </c>
      <c r="R62" s="40">
        <v>0.5</v>
      </c>
      <c r="S62" s="40">
        <v>2.9</v>
      </c>
      <c r="T62" s="40">
        <v>7.1</v>
      </c>
      <c r="U62" s="40">
        <v>0.4</v>
      </c>
      <c r="V62" s="40">
        <v>0.9</v>
      </c>
      <c r="W62" s="40">
        <v>1.7</v>
      </c>
      <c r="X62" s="40">
        <v>-1.5</v>
      </c>
      <c r="Y62" s="40">
        <v>-5</v>
      </c>
      <c r="Z62" s="40">
        <v>7.8</v>
      </c>
      <c r="AA62" s="40">
        <v>0.8</v>
      </c>
      <c r="AB62" s="40">
        <v>-5.4</v>
      </c>
      <c r="AC62" s="40"/>
    </row>
    <row r="63" spans="1:29" x14ac:dyDescent="0.2">
      <c r="A63" s="45" t="s">
        <v>86</v>
      </c>
      <c r="B63" s="45" t="s">
        <v>342</v>
      </c>
      <c r="C63" s="45" t="s">
        <v>341</v>
      </c>
      <c r="D63" s="40">
        <v>2.4</v>
      </c>
      <c r="E63" s="40">
        <v>-1.5</v>
      </c>
      <c r="F63" s="40">
        <v>1.6</v>
      </c>
      <c r="G63" s="40">
        <v>0.4</v>
      </c>
      <c r="H63" s="40">
        <v>1.7</v>
      </c>
      <c r="I63" s="40">
        <v>3.4</v>
      </c>
      <c r="J63" s="40">
        <v>3.1</v>
      </c>
      <c r="K63" s="40">
        <v>0.6</v>
      </c>
      <c r="L63" s="40">
        <v>-1.8</v>
      </c>
      <c r="M63" s="40">
        <v>-0.8</v>
      </c>
      <c r="N63" s="40">
        <v>-7.3</v>
      </c>
      <c r="O63" s="40">
        <v>5.2</v>
      </c>
      <c r="P63" s="40">
        <v>2.6</v>
      </c>
      <c r="Q63" s="40">
        <v>3.5</v>
      </c>
      <c r="R63" s="40">
        <v>2.8</v>
      </c>
      <c r="S63" s="40">
        <v>1.7</v>
      </c>
      <c r="T63" s="40">
        <v>-0.7</v>
      </c>
      <c r="U63" s="40">
        <v>1.4</v>
      </c>
      <c r="V63" s="40">
        <v>0</v>
      </c>
      <c r="W63" s="40">
        <v>1.5</v>
      </c>
      <c r="X63" s="40">
        <v>2.4</v>
      </c>
      <c r="Y63" s="40">
        <v>-5.9</v>
      </c>
      <c r="Z63" s="40">
        <v>4.5999999999999996</v>
      </c>
      <c r="AA63" s="40">
        <v>-2.4</v>
      </c>
      <c r="AB63" s="40">
        <v>-3</v>
      </c>
      <c r="AC63" s="40"/>
    </row>
    <row r="64" spans="1:29" x14ac:dyDescent="0.2">
      <c r="A64" s="45" t="s">
        <v>86</v>
      </c>
      <c r="B64" s="45" t="s">
        <v>340</v>
      </c>
      <c r="C64" s="45" t="s">
        <v>339</v>
      </c>
      <c r="D64" s="40">
        <v>3.8</v>
      </c>
      <c r="E64" s="40">
        <v>0.9</v>
      </c>
      <c r="F64" s="40">
        <v>4.5</v>
      </c>
      <c r="G64" s="40">
        <v>0.3</v>
      </c>
      <c r="H64" s="40">
        <v>1.3</v>
      </c>
      <c r="I64" s="40">
        <v>2.9</v>
      </c>
      <c r="J64" s="40">
        <v>-0.5</v>
      </c>
      <c r="K64" s="40">
        <v>0.3</v>
      </c>
      <c r="L64" s="40">
        <v>0.1</v>
      </c>
      <c r="M64" s="40">
        <v>-2.9</v>
      </c>
      <c r="N64" s="40">
        <v>-7.2</v>
      </c>
      <c r="O64" s="40">
        <v>4.3</v>
      </c>
      <c r="P64" s="40">
        <v>2.4</v>
      </c>
      <c r="Q64" s="40">
        <v>-1.4</v>
      </c>
      <c r="R64" s="40">
        <v>-0.9</v>
      </c>
      <c r="S64" s="40">
        <v>3.4</v>
      </c>
      <c r="T64" s="40">
        <v>0.9</v>
      </c>
      <c r="U64" s="40">
        <v>1.2</v>
      </c>
      <c r="V64" s="40">
        <v>2.1</v>
      </c>
      <c r="W64" s="40">
        <v>-0.2</v>
      </c>
      <c r="X64" s="40">
        <v>-2.1</v>
      </c>
      <c r="Y64" s="40">
        <v>-12.2</v>
      </c>
      <c r="Z64" s="40">
        <v>8.5</v>
      </c>
      <c r="AA64" s="40">
        <v>5.4</v>
      </c>
      <c r="AB64" s="40">
        <v>-1</v>
      </c>
      <c r="AC64" s="40"/>
    </row>
    <row r="65" spans="1:29" x14ac:dyDescent="0.2">
      <c r="A65" s="45" t="s">
        <v>86</v>
      </c>
      <c r="B65" s="45" t="s">
        <v>338</v>
      </c>
      <c r="C65" s="45" t="s">
        <v>337</v>
      </c>
      <c r="D65" s="40">
        <v>4</v>
      </c>
      <c r="E65" s="40">
        <v>2.1</v>
      </c>
      <c r="F65" s="40">
        <v>1.8</v>
      </c>
      <c r="G65" s="40">
        <v>0.8</v>
      </c>
      <c r="H65" s="40">
        <v>1.6</v>
      </c>
      <c r="I65" s="40">
        <v>2.8</v>
      </c>
      <c r="J65" s="40">
        <v>0.7</v>
      </c>
      <c r="K65" s="40">
        <v>1.7</v>
      </c>
      <c r="L65" s="40">
        <v>-1.3</v>
      </c>
      <c r="M65" s="40">
        <v>-2.5</v>
      </c>
      <c r="N65" s="40">
        <v>-5.6</v>
      </c>
      <c r="O65" s="40">
        <v>4</v>
      </c>
      <c r="P65" s="40">
        <v>3.8</v>
      </c>
      <c r="Q65" s="40">
        <v>0.6</v>
      </c>
      <c r="R65" s="40">
        <v>0.9</v>
      </c>
      <c r="S65" s="40">
        <v>1</v>
      </c>
      <c r="T65" s="40">
        <v>2</v>
      </c>
      <c r="U65" s="40">
        <v>0.8</v>
      </c>
      <c r="V65" s="40">
        <v>0.2</v>
      </c>
      <c r="W65" s="40">
        <v>1.3</v>
      </c>
      <c r="X65" s="40">
        <v>0.8</v>
      </c>
      <c r="Y65" s="40">
        <v>-7.9</v>
      </c>
      <c r="Z65" s="40">
        <v>7.1</v>
      </c>
      <c r="AA65" s="40">
        <v>2.2000000000000002</v>
      </c>
      <c r="AB65" s="40">
        <v>-4.5</v>
      </c>
      <c r="AC65" s="40"/>
    </row>
    <row r="66" spans="1:29" x14ac:dyDescent="0.2">
      <c r="A66" s="45" t="s">
        <v>86</v>
      </c>
      <c r="B66" s="45" t="s">
        <v>336</v>
      </c>
      <c r="C66" s="45" t="s">
        <v>335</v>
      </c>
      <c r="D66" s="40">
        <v>4.0999999999999996</v>
      </c>
      <c r="E66" s="40">
        <v>0</v>
      </c>
      <c r="F66" s="40">
        <v>1.8</v>
      </c>
      <c r="G66" s="40">
        <v>-0.3</v>
      </c>
      <c r="H66" s="40">
        <v>0.8</v>
      </c>
      <c r="I66" s="40">
        <v>2.8</v>
      </c>
      <c r="J66" s="40">
        <v>2.2000000000000002</v>
      </c>
      <c r="K66" s="40">
        <v>2</v>
      </c>
      <c r="L66" s="40">
        <v>0</v>
      </c>
      <c r="M66" s="40">
        <v>-2</v>
      </c>
      <c r="N66" s="40">
        <v>-4.8</v>
      </c>
      <c r="O66" s="40">
        <v>4.0999999999999996</v>
      </c>
      <c r="P66" s="40">
        <v>1.5</v>
      </c>
      <c r="Q66" s="40">
        <v>2.4</v>
      </c>
      <c r="R66" s="40">
        <v>1</v>
      </c>
      <c r="S66" s="40">
        <v>-0.7</v>
      </c>
      <c r="T66" s="40">
        <v>2.4</v>
      </c>
      <c r="U66" s="40">
        <v>0.8</v>
      </c>
      <c r="V66" s="40">
        <v>0.7</v>
      </c>
      <c r="W66" s="40">
        <v>3.6</v>
      </c>
      <c r="X66" s="40">
        <v>-0.2</v>
      </c>
      <c r="Y66" s="40">
        <v>-7.4</v>
      </c>
      <c r="Z66" s="40">
        <v>5.6</v>
      </c>
      <c r="AA66" s="40">
        <v>4.8</v>
      </c>
      <c r="AB66" s="40">
        <v>-2</v>
      </c>
      <c r="AC66" s="40"/>
    </row>
    <row r="67" spans="1:29" x14ac:dyDescent="0.2">
      <c r="A67" s="49" t="s">
        <v>87</v>
      </c>
      <c r="B67" s="49" t="s">
        <v>334</v>
      </c>
      <c r="C67" s="49" t="s">
        <v>333</v>
      </c>
      <c r="D67" s="48">
        <v>1.9</v>
      </c>
      <c r="E67" s="48">
        <v>4.3</v>
      </c>
      <c r="F67" s="48">
        <v>1</v>
      </c>
      <c r="G67" s="48">
        <v>-0.3</v>
      </c>
      <c r="H67" s="48">
        <v>3.3</v>
      </c>
      <c r="I67" s="48">
        <v>2.2000000000000002</v>
      </c>
      <c r="J67" s="48">
        <v>-0.4</v>
      </c>
      <c r="K67" s="48">
        <v>4.7</v>
      </c>
      <c r="L67" s="48">
        <v>0.3</v>
      </c>
      <c r="M67" s="48">
        <v>-1.3</v>
      </c>
      <c r="N67" s="48">
        <v>-6.6</v>
      </c>
      <c r="O67" s="48">
        <v>4.2</v>
      </c>
      <c r="P67" s="48">
        <v>-0.6</v>
      </c>
      <c r="Q67" s="48">
        <v>0.6</v>
      </c>
      <c r="R67" s="48">
        <v>2.6</v>
      </c>
      <c r="S67" s="48">
        <v>2.1</v>
      </c>
      <c r="T67" s="48">
        <v>0.9</v>
      </c>
      <c r="U67" s="48">
        <v>0.6</v>
      </c>
      <c r="V67" s="48">
        <v>-0.4</v>
      </c>
      <c r="W67" s="48">
        <v>1.1000000000000001</v>
      </c>
      <c r="X67" s="48">
        <v>-0.1</v>
      </c>
      <c r="Y67" s="48">
        <v>-12.2</v>
      </c>
      <c r="Z67" s="48">
        <v>12.6</v>
      </c>
      <c r="AA67" s="48">
        <v>0.8</v>
      </c>
      <c r="AB67" s="48">
        <v>-1.7</v>
      </c>
      <c r="AC67" s="40"/>
    </row>
    <row r="68" spans="1:29" x14ac:dyDescent="0.2">
      <c r="A68" s="45" t="s">
        <v>86</v>
      </c>
      <c r="B68" s="45" t="s">
        <v>332</v>
      </c>
      <c r="C68" s="45" t="s">
        <v>331</v>
      </c>
      <c r="D68" s="40">
        <v>4.5</v>
      </c>
      <c r="E68" s="40">
        <v>6.3</v>
      </c>
      <c r="F68" s="40">
        <v>2.4</v>
      </c>
      <c r="G68" s="40">
        <v>-0.1</v>
      </c>
      <c r="H68" s="40">
        <v>3.5</v>
      </c>
      <c r="I68" s="40">
        <v>3.5</v>
      </c>
      <c r="J68" s="40">
        <v>-1.3</v>
      </c>
      <c r="K68" s="40">
        <v>3.6</v>
      </c>
      <c r="L68" s="40">
        <v>0.8</v>
      </c>
      <c r="M68" s="40">
        <v>-0.9</v>
      </c>
      <c r="N68" s="40">
        <v>-6</v>
      </c>
      <c r="O68" s="40">
        <v>2.7</v>
      </c>
      <c r="P68" s="40">
        <v>-0.5</v>
      </c>
      <c r="Q68" s="40">
        <v>1.1000000000000001</v>
      </c>
      <c r="R68" s="40">
        <v>1.4</v>
      </c>
      <c r="S68" s="40">
        <v>4.4000000000000004</v>
      </c>
      <c r="T68" s="40">
        <v>0.3</v>
      </c>
      <c r="U68" s="40">
        <v>0</v>
      </c>
      <c r="V68" s="40">
        <v>-2</v>
      </c>
      <c r="W68" s="40">
        <v>0.7</v>
      </c>
      <c r="X68" s="40">
        <v>0.5</v>
      </c>
      <c r="Y68" s="40">
        <v>-14.2</v>
      </c>
      <c r="Z68" s="40">
        <v>15.9</v>
      </c>
      <c r="AA68" s="40">
        <v>-2.4</v>
      </c>
      <c r="AB68" s="40">
        <v>-3.6</v>
      </c>
      <c r="AC68" s="40"/>
    </row>
    <row r="69" spans="1:29" x14ac:dyDescent="0.2">
      <c r="A69" s="45" t="s">
        <v>86</v>
      </c>
      <c r="B69" s="45" t="s">
        <v>330</v>
      </c>
      <c r="C69" s="45" t="s">
        <v>329</v>
      </c>
      <c r="D69" s="40">
        <v>0.7</v>
      </c>
      <c r="E69" s="40">
        <v>3.7</v>
      </c>
      <c r="F69" s="40">
        <v>1.1000000000000001</v>
      </c>
      <c r="G69" s="40">
        <v>0.3</v>
      </c>
      <c r="H69" s="40">
        <v>3.8</v>
      </c>
      <c r="I69" s="40">
        <v>2.2000000000000002</v>
      </c>
      <c r="J69" s="40">
        <v>0</v>
      </c>
      <c r="K69" s="40">
        <v>4.3</v>
      </c>
      <c r="L69" s="40">
        <v>-0.1</v>
      </c>
      <c r="M69" s="40">
        <v>-1.8</v>
      </c>
      <c r="N69" s="40">
        <v>-7</v>
      </c>
      <c r="O69" s="40">
        <v>5.2</v>
      </c>
      <c r="P69" s="40">
        <v>-1.4</v>
      </c>
      <c r="Q69" s="40">
        <v>0.4</v>
      </c>
      <c r="R69" s="40">
        <v>1.9</v>
      </c>
      <c r="S69" s="40">
        <v>1.2</v>
      </c>
      <c r="T69" s="40">
        <v>0.5</v>
      </c>
      <c r="U69" s="40">
        <v>0.9</v>
      </c>
      <c r="V69" s="40">
        <v>-0.5</v>
      </c>
      <c r="W69" s="40">
        <v>0.6</v>
      </c>
      <c r="X69" s="40">
        <v>-0.9</v>
      </c>
      <c r="Y69" s="40">
        <v>-12</v>
      </c>
      <c r="Z69" s="40">
        <v>12.5</v>
      </c>
      <c r="AA69" s="40">
        <v>2</v>
      </c>
      <c r="AB69" s="40">
        <v>1</v>
      </c>
      <c r="AC69" s="40"/>
    </row>
    <row r="70" spans="1:29" x14ac:dyDescent="0.2">
      <c r="A70" s="45" t="s">
        <v>86</v>
      </c>
      <c r="B70" s="45" t="s">
        <v>328</v>
      </c>
      <c r="C70" s="45" t="s">
        <v>327</v>
      </c>
      <c r="D70" s="40">
        <v>0.9</v>
      </c>
      <c r="E70" s="40">
        <v>6</v>
      </c>
      <c r="F70" s="40">
        <v>1.2</v>
      </c>
      <c r="G70" s="40">
        <v>-0.3</v>
      </c>
      <c r="H70" s="40">
        <v>1.4</v>
      </c>
      <c r="I70" s="40">
        <v>2.7</v>
      </c>
      <c r="J70" s="40">
        <v>0.8</v>
      </c>
      <c r="K70" s="40">
        <v>5.6</v>
      </c>
      <c r="L70" s="40">
        <v>1.6</v>
      </c>
      <c r="M70" s="40">
        <v>-0.7</v>
      </c>
      <c r="N70" s="40">
        <v>-8</v>
      </c>
      <c r="O70" s="40">
        <v>3.4</v>
      </c>
      <c r="P70" s="40">
        <v>0.9</v>
      </c>
      <c r="Q70" s="40">
        <v>-1.5</v>
      </c>
      <c r="R70" s="40">
        <v>3.1</v>
      </c>
      <c r="S70" s="40">
        <v>1.2</v>
      </c>
      <c r="T70" s="40">
        <v>0.2</v>
      </c>
      <c r="U70" s="40">
        <v>1.1000000000000001</v>
      </c>
      <c r="V70" s="40">
        <v>1.8</v>
      </c>
      <c r="W70" s="40">
        <v>2.1</v>
      </c>
      <c r="X70" s="40">
        <v>-0.3</v>
      </c>
      <c r="Y70" s="40">
        <v>-11.6</v>
      </c>
      <c r="Z70" s="40">
        <v>11.8</v>
      </c>
      <c r="AA70" s="40">
        <v>1.3</v>
      </c>
      <c r="AB70" s="40">
        <v>-2.6</v>
      </c>
      <c r="AC70" s="40"/>
    </row>
    <row r="71" spans="1:29" x14ac:dyDescent="0.2">
      <c r="A71" s="45" t="s">
        <v>86</v>
      </c>
      <c r="B71" s="45" t="s">
        <v>326</v>
      </c>
      <c r="C71" s="45" t="s">
        <v>325</v>
      </c>
      <c r="D71" s="40">
        <v>1.7</v>
      </c>
      <c r="E71" s="40">
        <v>2.7</v>
      </c>
      <c r="F71" s="40">
        <v>-1.4</v>
      </c>
      <c r="G71" s="40">
        <v>-2.2000000000000002</v>
      </c>
      <c r="H71" s="40">
        <v>3.1</v>
      </c>
      <c r="I71" s="40">
        <v>1.9</v>
      </c>
      <c r="J71" s="40">
        <v>-0.5</v>
      </c>
      <c r="K71" s="40">
        <v>3</v>
      </c>
      <c r="L71" s="40">
        <v>-0.4</v>
      </c>
      <c r="M71" s="40">
        <v>-1.5</v>
      </c>
      <c r="N71" s="40">
        <v>-7</v>
      </c>
      <c r="O71" s="40">
        <v>4.0999999999999996</v>
      </c>
      <c r="P71" s="40">
        <v>-2.4</v>
      </c>
      <c r="Q71" s="40">
        <v>2.9</v>
      </c>
      <c r="R71" s="40">
        <v>1</v>
      </c>
      <c r="S71" s="40">
        <v>2.7</v>
      </c>
      <c r="T71" s="40">
        <v>-0.1</v>
      </c>
      <c r="U71" s="40">
        <v>0.1</v>
      </c>
      <c r="V71" s="40">
        <v>-1.6</v>
      </c>
      <c r="W71" s="40">
        <v>0.9</v>
      </c>
      <c r="X71" s="40">
        <v>0.6</v>
      </c>
      <c r="Y71" s="40">
        <v>-11.1</v>
      </c>
      <c r="Z71" s="40">
        <v>10.199999999999999</v>
      </c>
      <c r="AA71" s="40">
        <v>0.8</v>
      </c>
      <c r="AB71" s="40">
        <v>-3.1</v>
      </c>
      <c r="AC71" s="40"/>
    </row>
    <row r="72" spans="1:29" x14ac:dyDescent="0.2">
      <c r="A72" s="49" t="s">
        <v>87</v>
      </c>
      <c r="B72" s="49" t="s">
        <v>324</v>
      </c>
      <c r="C72" s="49" t="s">
        <v>323</v>
      </c>
      <c r="D72" s="48">
        <v>2.2999999999999998</v>
      </c>
      <c r="E72" s="48">
        <v>2.8</v>
      </c>
      <c r="F72" s="48">
        <v>3.9</v>
      </c>
      <c r="G72" s="48">
        <v>1.7</v>
      </c>
      <c r="H72" s="48">
        <v>1.8</v>
      </c>
      <c r="I72" s="48">
        <v>-3.9</v>
      </c>
      <c r="J72" s="48">
        <v>2.6</v>
      </c>
      <c r="K72" s="48">
        <v>3.4</v>
      </c>
      <c r="L72" s="48">
        <v>-1.1000000000000001</v>
      </c>
      <c r="M72" s="48">
        <v>0.5</v>
      </c>
      <c r="N72" s="48">
        <v>-6.6</v>
      </c>
      <c r="O72" s="48">
        <v>1.7</v>
      </c>
      <c r="P72" s="48">
        <v>2.5</v>
      </c>
      <c r="Q72" s="48">
        <v>0.6</v>
      </c>
      <c r="R72" s="48">
        <v>2.7</v>
      </c>
      <c r="S72" s="48">
        <v>2.2999999999999998</v>
      </c>
      <c r="T72" s="48">
        <v>-1.7</v>
      </c>
      <c r="U72" s="48">
        <v>-0.4</v>
      </c>
      <c r="V72" s="48">
        <v>3.5</v>
      </c>
      <c r="W72" s="48">
        <v>1.2</v>
      </c>
      <c r="X72" s="48">
        <v>3</v>
      </c>
      <c r="Y72" s="48">
        <v>-11.3</v>
      </c>
      <c r="Z72" s="48">
        <v>8.6999999999999993</v>
      </c>
      <c r="AA72" s="48">
        <v>0.2</v>
      </c>
      <c r="AB72" s="48">
        <v>-2</v>
      </c>
      <c r="AC72" s="40"/>
    </row>
    <row r="73" spans="1:29" x14ac:dyDescent="0.2">
      <c r="A73" s="45" t="s">
        <v>86</v>
      </c>
      <c r="B73" s="45" t="s">
        <v>322</v>
      </c>
      <c r="C73" s="45" t="s">
        <v>321</v>
      </c>
      <c r="D73" s="40">
        <v>2.2999999999999998</v>
      </c>
      <c r="E73" s="40">
        <v>2.8</v>
      </c>
      <c r="F73" s="40">
        <v>3.9</v>
      </c>
      <c r="G73" s="40">
        <v>1.4</v>
      </c>
      <c r="H73" s="40">
        <v>1.5</v>
      </c>
      <c r="I73" s="40">
        <v>-3.9</v>
      </c>
      <c r="J73" s="40">
        <v>2.5</v>
      </c>
      <c r="K73" s="40">
        <v>3.1</v>
      </c>
      <c r="L73" s="40">
        <v>-1.3</v>
      </c>
      <c r="M73" s="40">
        <v>0.2</v>
      </c>
      <c r="N73" s="40">
        <v>-6.4</v>
      </c>
      <c r="O73" s="40">
        <v>1.6</v>
      </c>
      <c r="P73" s="40">
        <v>1.9</v>
      </c>
      <c r="Q73" s="40">
        <v>0.8</v>
      </c>
      <c r="R73" s="40">
        <v>2.6</v>
      </c>
      <c r="S73" s="40">
        <v>2.2999999999999998</v>
      </c>
      <c r="T73" s="40">
        <v>-1.2</v>
      </c>
      <c r="U73" s="40">
        <v>-0.8</v>
      </c>
      <c r="V73" s="40">
        <v>3.5</v>
      </c>
      <c r="W73" s="40">
        <v>1.4</v>
      </c>
      <c r="X73" s="40">
        <v>2.7</v>
      </c>
      <c r="Y73" s="40">
        <v>-11.2</v>
      </c>
      <c r="Z73" s="40">
        <v>8.6</v>
      </c>
      <c r="AA73" s="40">
        <v>0.1</v>
      </c>
      <c r="AB73" s="40">
        <v>-1.8</v>
      </c>
      <c r="AC73" s="40"/>
    </row>
    <row r="74" spans="1:29" x14ac:dyDescent="0.2">
      <c r="A74" s="51" t="s">
        <v>88</v>
      </c>
      <c r="B74" s="51" t="s">
        <v>320</v>
      </c>
      <c r="C74" s="51" t="s">
        <v>300</v>
      </c>
      <c r="D74" s="50">
        <v>3.5</v>
      </c>
      <c r="E74" s="50">
        <v>2.9</v>
      </c>
      <c r="F74" s="50">
        <v>2.2999999999999998</v>
      </c>
      <c r="G74" s="50">
        <v>0.3</v>
      </c>
      <c r="H74" s="50">
        <v>2</v>
      </c>
      <c r="I74" s="50">
        <v>1.9</v>
      </c>
      <c r="J74" s="50">
        <v>0.6</v>
      </c>
      <c r="K74" s="50">
        <v>1.2</v>
      </c>
      <c r="L74" s="50">
        <v>-0.3</v>
      </c>
      <c r="M74" s="50">
        <v>-1.3</v>
      </c>
      <c r="N74" s="50">
        <v>-7</v>
      </c>
      <c r="O74" s="50">
        <v>3.6</v>
      </c>
      <c r="P74" s="50">
        <v>3.1</v>
      </c>
      <c r="Q74" s="50">
        <v>0.8</v>
      </c>
      <c r="R74" s="50">
        <v>1.6</v>
      </c>
      <c r="S74" s="50">
        <v>2.7</v>
      </c>
      <c r="T74" s="50">
        <v>1.7</v>
      </c>
      <c r="U74" s="50">
        <v>1.5</v>
      </c>
      <c r="V74" s="50">
        <v>2.5</v>
      </c>
      <c r="W74" s="50">
        <v>0.6</v>
      </c>
      <c r="X74" s="50">
        <v>-1</v>
      </c>
      <c r="Y74" s="50">
        <v>-11.3</v>
      </c>
      <c r="Z74" s="50">
        <v>10.3</v>
      </c>
      <c r="AA74" s="50">
        <v>1.5</v>
      </c>
      <c r="AB74" s="50">
        <v>-1.3</v>
      </c>
      <c r="AC74" s="43"/>
    </row>
    <row r="75" spans="1:29" x14ac:dyDescent="0.2">
      <c r="A75" s="49" t="s">
        <v>87</v>
      </c>
      <c r="B75" s="49" t="s">
        <v>319</v>
      </c>
      <c r="C75" s="49" t="s">
        <v>318</v>
      </c>
      <c r="D75" s="48">
        <v>5</v>
      </c>
      <c r="E75" s="48">
        <v>3.8</v>
      </c>
      <c r="F75" s="48">
        <v>-0.9</v>
      </c>
      <c r="G75" s="48">
        <v>-0.3</v>
      </c>
      <c r="H75" s="48">
        <v>2.5</v>
      </c>
      <c r="I75" s="48">
        <v>1.2</v>
      </c>
      <c r="J75" s="48">
        <v>0.7</v>
      </c>
      <c r="K75" s="48">
        <v>3.2</v>
      </c>
      <c r="L75" s="48">
        <v>-2.7</v>
      </c>
      <c r="M75" s="48">
        <v>-0.2</v>
      </c>
      <c r="N75" s="48">
        <v>-5.8</v>
      </c>
      <c r="O75" s="48">
        <v>4.3</v>
      </c>
      <c r="P75" s="48">
        <v>5.2</v>
      </c>
      <c r="Q75" s="48">
        <v>2.2000000000000002</v>
      </c>
      <c r="R75" s="48">
        <v>3.5</v>
      </c>
      <c r="S75" s="48">
        <v>3.9</v>
      </c>
      <c r="T75" s="48">
        <v>2.8</v>
      </c>
      <c r="U75" s="48">
        <v>-0.6</v>
      </c>
      <c r="V75" s="48">
        <v>6</v>
      </c>
      <c r="W75" s="48">
        <v>0.3</v>
      </c>
      <c r="X75" s="48">
        <v>-1.8</v>
      </c>
      <c r="Y75" s="48">
        <v>-8.6</v>
      </c>
      <c r="Z75" s="48">
        <v>5.5</v>
      </c>
      <c r="AA75" s="48">
        <v>5.2</v>
      </c>
      <c r="AB75" s="48">
        <v>0.3</v>
      </c>
      <c r="AC75" s="40"/>
    </row>
    <row r="76" spans="1:29" x14ac:dyDescent="0.2">
      <c r="A76" s="45" t="s">
        <v>86</v>
      </c>
      <c r="B76" s="45" t="s">
        <v>317</v>
      </c>
      <c r="C76" s="45" t="s">
        <v>316</v>
      </c>
      <c r="D76" s="40">
        <v>5.6</v>
      </c>
      <c r="E76" s="40">
        <v>3.8</v>
      </c>
      <c r="F76" s="40">
        <v>-1.1000000000000001</v>
      </c>
      <c r="G76" s="40">
        <v>2.2000000000000002</v>
      </c>
      <c r="H76" s="40">
        <v>-0.2</v>
      </c>
      <c r="I76" s="40">
        <v>-2.7</v>
      </c>
      <c r="J76" s="40">
        <v>1.6</v>
      </c>
      <c r="K76" s="40">
        <v>0.9</v>
      </c>
      <c r="L76" s="40">
        <v>-3.1</v>
      </c>
      <c r="M76" s="40">
        <v>-0.2</v>
      </c>
      <c r="N76" s="40">
        <v>-5.6</v>
      </c>
      <c r="O76" s="40">
        <v>0.9</v>
      </c>
      <c r="P76" s="40">
        <v>5.2</v>
      </c>
      <c r="Q76" s="40">
        <v>0.7</v>
      </c>
      <c r="R76" s="40">
        <v>2.1</v>
      </c>
      <c r="S76" s="40">
        <v>5</v>
      </c>
      <c r="T76" s="40">
        <v>0.6</v>
      </c>
      <c r="U76" s="40">
        <v>-0.2</v>
      </c>
      <c r="V76" s="40">
        <v>2.8</v>
      </c>
      <c r="W76" s="40">
        <v>2.4</v>
      </c>
      <c r="X76" s="40">
        <v>1.3</v>
      </c>
      <c r="Y76" s="40">
        <v>-9.8000000000000007</v>
      </c>
      <c r="Z76" s="40">
        <v>7</v>
      </c>
      <c r="AA76" s="40">
        <v>4.0999999999999996</v>
      </c>
      <c r="AB76" s="40">
        <v>-0.7</v>
      </c>
      <c r="AC76" s="40"/>
    </row>
    <row r="77" spans="1:29" x14ac:dyDescent="0.2">
      <c r="A77" s="45" t="s">
        <v>86</v>
      </c>
      <c r="B77" s="45" t="s">
        <v>315</v>
      </c>
      <c r="C77" s="45" t="s">
        <v>314</v>
      </c>
      <c r="D77" s="40">
        <v>3.9</v>
      </c>
      <c r="E77" s="40">
        <v>4.3</v>
      </c>
      <c r="F77" s="40">
        <v>-0.6</v>
      </c>
      <c r="G77" s="40">
        <v>-1</v>
      </c>
      <c r="H77" s="40">
        <v>2.6</v>
      </c>
      <c r="I77" s="40">
        <v>2.2000000000000002</v>
      </c>
      <c r="J77" s="40">
        <v>-0.4</v>
      </c>
      <c r="K77" s="40">
        <v>2.2999999999999998</v>
      </c>
      <c r="L77" s="40">
        <v>-2.8</v>
      </c>
      <c r="M77" s="40">
        <v>0</v>
      </c>
      <c r="N77" s="40">
        <v>-4.5999999999999996</v>
      </c>
      <c r="O77" s="40">
        <v>4.9000000000000004</v>
      </c>
      <c r="P77" s="40">
        <v>4</v>
      </c>
      <c r="Q77" s="40">
        <v>1.8</v>
      </c>
      <c r="R77" s="40">
        <v>0.5</v>
      </c>
      <c r="S77" s="40">
        <v>3</v>
      </c>
      <c r="T77" s="40">
        <v>0.5</v>
      </c>
      <c r="U77" s="40">
        <v>-1.3</v>
      </c>
      <c r="V77" s="40">
        <v>5.2</v>
      </c>
      <c r="W77" s="40">
        <v>1.1000000000000001</v>
      </c>
      <c r="X77" s="40">
        <v>-0.6</v>
      </c>
      <c r="Y77" s="40">
        <v>-7.6</v>
      </c>
      <c r="Z77" s="40">
        <v>4.3</v>
      </c>
      <c r="AA77" s="40">
        <v>4.8</v>
      </c>
      <c r="AB77" s="40">
        <v>-1.6</v>
      </c>
      <c r="AC77" s="40"/>
    </row>
    <row r="78" spans="1:29" x14ac:dyDescent="0.2">
      <c r="A78" s="45" t="s">
        <v>86</v>
      </c>
      <c r="B78" s="45" t="s">
        <v>313</v>
      </c>
      <c r="C78" s="45" t="s">
        <v>312</v>
      </c>
      <c r="D78" s="40">
        <v>6.2</v>
      </c>
      <c r="E78" s="40">
        <v>3.6</v>
      </c>
      <c r="F78" s="40">
        <v>-1.3</v>
      </c>
      <c r="G78" s="40">
        <v>-0.5</v>
      </c>
      <c r="H78" s="40">
        <v>2.6</v>
      </c>
      <c r="I78" s="40">
        <v>1.6</v>
      </c>
      <c r="J78" s="40">
        <v>1.6</v>
      </c>
      <c r="K78" s="40">
        <v>3.7</v>
      </c>
      <c r="L78" s="40">
        <v>-2.7</v>
      </c>
      <c r="M78" s="40">
        <v>-0.6</v>
      </c>
      <c r="N78" s="40">
        <v>-7</v>
      </c>
      <c r="O78" s="40">
        <v>4.3</v>
      </c>
      <c r="P78" s="40">
        <v>5.4</v>
      </c>
      <c r="Q78" s="40">
        <v>2.9</v>
      </c>
      <c r="R78" s="40">
        <v>5.3</v>
      </c>
      <c r="S78" s="40">
        <v>4.0999999999999996</v>
      </c>
      <c r="T78" s="40">
        <v>4</v>
      </c>
      <c r="U78" s="40">
        <v>-0.7</v>
      </c>
      <c r="V78" s="40">
        <v>7.6</v>
      </c>
      <c r="W78" s="40">
        <v>-1.2</v>
      </c>
      <c r="X78" s="40">
        <v>-3.8</v>
      </c>
      <c r="Y78" s="40">
        <v>-9.5</v>
      </c>
      <c r="Z78" s="40">
        <v>5.2</v>
      </c>
      <c r="AA78" s="40">
        <v>5.7</v>
      </c>
      <c r="AB78" s="40">
        <v>1.9</v>
      </c>
      <c r="AC78" s="40"/>
    </row>
    <row r="79" spans="1:29" x14ac:dyDescent="0.2">
      <c r="A79" s="49" t="s">
        <v>87</v>
      </c>
      <c r="B79" s="49" t="s">
        <v>311</v>
      </c>
      <c r="C79" s="49" t="s">
        <v>310</v>
      </c>
      <c r="D79" s="48">
        <v>1.5</v>
      </c>
      <c r="E79" s="48">
        <v>2</v>
      </c>
      <c r="F79" s="48">
        <v>1.7</v>
      </c>
      <c r="G79" s="48">
        <v>2.4</v>
      </c>
      <c r="H79" s="48">
        <v>1.9</v>
      </c>
      <c r="I79" s="48">
        <v>3</v>
      </c>
      <c r="J79" s="48">
        <v>0.8</v>
      </c>
      <c r="K79" s="48">
        <v>1.6</v>
      </c>
      <c r="L79" s="48">
        <v>-1.3</v>
      </c>
      <c r="M79" s="48">
        <v>0.3</v>
      </c>
      <c r="N79" s="48">
        <v>-7.2</v>
      </c>
      <c r="O79" s="48">
        <v>3.2</v>
      </c>
      <c r="P79" s="48">
        <v>3.6</v>
      </c>
      <c r="Q79" s="48">
        <v>-0.1</v>
      </c>
      <c r="R79" s="48">
        <v>1.8</v>
      </c>
      <c r="S79" s="48">
        <v>1.6</v>
      </c>
      <c r="T79" s="48">
        <v>0.4</v>
      </c>
      <c r="U79" s="48">
        <v>1</v>
      </c>
      <c r="V79" s="48">
        <v>1.8</v>
      </c>
      <c r="W79" s="48">
        <v>0.9</v>
      </c>
      <c r="X79" s="48">
        <v>0</v>
      </c>
      <c r="Y79" s="48">
        <v>-10.3</v>
      </c>
      <c r="Z79" s="48">
        <v>14.6</v>
      </c>
      <c r="AA79" s="48">
        <v>-3.5</v>
      </c>
      <c r="AB79" s="48">
        <v>-3.1</v>
      </c>
      <c r="AC79" s="40"/>
    </row>
    <row r="80" spans="1:29" x14ac:dyDescent="0.2">
      <c r="A80" s="45" t="s">
        <v>86</v>
      </c>
      <c r="B80" s="45" t="s">
        <v>309</v>
      </c>
      <c r="C80" s="45" t="s">
        <v>308</v>
      </c>
      <c r="D80" s="40">
        <v>2.5</v>
      </c>
      <c r="E80" s="40">
        <v>0</v>
      </c>
      <c r="F80" s="40">
        <v>1.1000000000000001</v>
      </c>
      <c r="G80" s="40">
        <v>-0.1</v>
      </c>
      <c r="H80" s="40">
        <v>1.3</v>
      </c>
      <c r="I80" s="40">
        <v>2</v>
      </c>
      <c r="J80" s="40">
        <v>0.9</v>
      </c>
      <c r="K80" s="40">
        <v>-0.2</v>
      </c>
      <c r="L80" s="40">
        <v>1.5</v>
      </c>
      <c r="M80" s="40">
        <v>0.1</v>
      </c>
      <c r="N80" s="40">
        <v>-7.7</v>
      </c>
      <c r="O80" s="40">
        <v>1.6</v>
      </c>
      <c r="P80" s="40">
        <v>2.6</v>
      </c>
      <c r="Q80" s="40">
        <v>0.6</v>
      </c>
      <c r="R80" s="40">
        <v>1</v>
      </c>
      <c r="S80" s="40">
        <v>0.6</v>
      </c>
      <c r="T80" s="40">
        <v>-1.6</v>
      </c>
      <c r="U80" s="40">
        <v>4.5999999999999996</v>
      </c>
      <c r="V80" s="40">
        <v>1.6</v>
      </c>
      <c r="W80" s="40">
        <v>1.4</v>
      </c>
      <c r="X80" s="40">
        <v>1.2</v>
      </c>
      <c r="Y80" s="40">
        <v>-4.0999999999999996</v>
      </c>
      <c r="Z80" s="40">
        <v>11.3</v>
      </c>
      <c r="AA80" s="40">
        <v>-3.9</v>
      </c>
      <c r="AB80" s="40">
        <v>-6.7</v>
      </c>
      <c r="AC80" s="40"/>
    </row>
    <row r="81" spans="1:29" x14ac:dyDescent="0.2">
      <c r="A81" s="45" t="s">
        <v>86</v>
      </c>
      <c r="B81" s="45" t="s">
        <v>307</v>
      </c>
      <c r="C81" s="45" t="s">
        <v>306</v>
      </c>
      <c r="D81" s="40">
        <v>0.7</v>
      </c>
      <c r="E81" s="40">
        <v>2</v>
      </c>
      <c r="F81" s="40">
        <v>0.8</v>
      </c>
      <c r="G81" s="40">
        <v>3</v>
      </c>
      <c r="H81" s="40">
        <v>1.1000000000000001</v>
      </c>
      <c r="I81" s="40">
        <v>1.5</v>
      </c>
      <c r="J81" s="40">
        <v>1</v>
      </c>
      <c r="K81" s="40">
        <v>1</v>
      </c>
      <c r="L81" s="40">
        <v>-2.8</v>
      </c>
      <c r="M81" s="40">
        <v>0.4</v>
      </c>
      <c r="N81" s="40">
        <v>-6.7</v>
      </c>
      <c r="O81" s="40">
        <v>1.4</v>
      </c>
      <c r="P81" s="40">
        <v>2.5</v>
      </c>
      <c r="Q81" s="40">
        <v>-0.7</v>
      </c>
      <c r="R81" s="40">
        <v>2.5</v>
      </c>
      <c r="S81" s="40">
        <v>2.9</v>
      </c>
      <c r="T81" s="40">
        <v>-1.5</v>
      </c>
      <c r="U81" s="40">
        <v>1.8</v>
      </c>
      <c r="V81" s="40">
        <v>-0.3</v>
      </c>
      <c r="W81" s="40">
        <v>1.2</v>
      </c>
      <c r="X81" s="40">
        <v>-2</v>
      </c>
      <c r="Y81" s="40">
        <v>-11.4</v>
      </c>
      <c r="Z81" s="40">
        <v>13.7</v>
      </c>
      <c r="AA81" s="40">
        <v>-0.5</v>
      </c>
      <c r="AB81" s="40">
        <v>-2.1</v>
      </c>
      <c r="AC81" s="40"/>
    </row>
    <row r="82" spans="1:29" x14ac:dyDescent="0.2">
      <c r="A82" s="45" t="s">
        <v>86</v>
      </c>
      <c r="B82" s="45" t="s">
        <v>305</v>
      </c>
      <c r="C82" s="45" t="s">
        <v>304</v>
      </c>
      <c r="D82" s="40">
        <v>2.9</v>
      </c>
      <c r="E82" s="40">
        <v>4.5999999999999996</v>
      </c>
      <c r="F82" s="40">
        <v>3.6</v>
      </c>
      <c r="G82" s="40">
        <v>1.9</v>
      </c>
      <c r="H82" s="40">
        <v>3.1</v>
      </c>
      <c r="I82" s="40">
        <v>4.8</v>
      </c>
      <c r="J82" s="40">
        <v>1.4</v>
      </c>
      <c r="K82" s="40">
        <v>2.6</v>
      </c>
      <c r="L82" s="40">
        <v>0.4</v>
      </c>
      <c r="M82" s="40">
        <v>1.6</v>
      </c>
      <c r="N82" s="40">
        <v>-4.5</v>
      </c>
      <c r="O82" s="40">
        <v>3.9</v>
      </c>
      <c r="P82" s="40">
        <v>4.5</v>
      </c>
      <c r="Q82" s="40">
        <v>1.1000000000000001</v>
      </c>
      <c r="R82" s="40">
        <v>2.6</v>
      </c>
      <c r="S82" s="40">
        <v>0.6</v>
      </c>
      <c r="T82" s="40">
        <v>1.8</v>
      </c>
      <c r="U82" s="40">
        <v>-1</v>
      </c>
      <c r="V82" s="40">
        <v>4.8</v>
      </c>
      <c r="W82" s="40">
        <v>5.7</v>
      </c>
      <c r="X82" s="40">
        <v>0.8</v>
      </c>
      <c r="Y82" s="40">
        <v>-8.9</v>
      </c>
      <c r="Z82" s="40">
        <v>14.6</v>
      </c>
      <c r="AA82" s="40">
        <v>-5.0999999999999996</v>
      </c>
      <c r="AB82" s="40">
        <v>-0.5</v>
      </c>
      <c r="AC82" s="40"/>
    </row>
    <row r="83" spans="1:29" x14ac:dyDescent="0.2">
      <c r="A83" s="45" t="s">
        <v>86</v>
      </c>
      <c r="B83" s="45" t="s">
        <v>303</v>
      </c>
      <c r="C83" s="45" t="s">
        <v>302</v>
      </c>
      <c r="D83" s="40">
        <v>1.4</v>
      </c>
      <c r="E83" s="40">
        <v>1.9</v>
      </c>
      <c r="F83" s="40">
        <v>1.7</v>
      </c>
      <c r="G83" s="40">
        <v>2.7</v>
      </c>
      <c r="H83" s="40">
        <v>1.8</v>
      </c>
      <c r="I83" s="40">
        <v>3.2</v>
      </c>
      <c r="J83" s="40">
        <v>0.6</v>
      </c>
      <c r="K83" s="40">
        <v>1.7</v>
      </c>
      <c r="L83" s="40">
        <v>-2</v>
      </c>
      <c r="M83" s="40">
        <v>-0.4</v>
      </c>
      <c r="N83" s="40">
        <v>-8.1</v>
      </c>
      <c r="O83" s="40">
        <v>4.0999999999999996</v>
      </c>
      <c r="P83" s="40">
        <v>3.1</v>
      </c>
      <c r="Q83" s="40">
        <v>-0.7</v>
      </c>
      <c r="R83" s="40">
        <v>1.6</v>
      </c>
      <c r="S83" s="40">
        <v>1.4</v>
      </c>
      <c r="T83" s="40">
        <v>1.4</v>
      </c>
      <c r="U83" s="40">
        <v>0.4</v>
      </c>
      <c r="V83" s="40">
        <v>1.8</v>
      </c>
      <c r="W83" s="40">
        <v>-0.6</v>
      </c>
      <c r="X83" s="40">
        <v>0.2</v>
      </c>
      <c r="Y83" s="40">
        <v>-11.7</v>
      </c>
      <c r="Z83" s="40">
        <v>15.5</v>
      </c>
      <c r="AA83" s="40">
        <v>-4.2</v>
      </c>
      <c r="AB83" s="40">
        <v>-3.2</v>
      </c>
      <c r="AC83" s="40"/>
    </row>
    <row r="84" spans="1:29" x14ac:dyDescent="0.2">
      <c r="A84" s="49" t="s">
        <v>87</v>
      </c>
      <c r="B84" s="49" t="s">
        <v>301</v>
      </c>
      <c r="C84" s="49" t="s">
        <v>300</v>
      </c>
      <c r="D84" s="48">
        <v>3.9</v>
      </c>
      <c r="E84" s="48">
        <v>2.8</v>
      </c>
      <c r="F84" s="48">
        <v>4.2</v>
      </c>
      <c r="G84" s="48">
        <v>-0.5</v>
      </c>
      <c r="H84" s="48">
        <v>1.8</v>
      </c>
      <c r="I84" s="48">
        <v>1.6</v>
      </c>
      <c r="J84" s="48">
        <v>0.4</v>
      </c>
      <c r="K84" s="48">
        <v>0</v>
      </c>
      <c r="L84" s="48">
        <v>1.5</v>
      </c>
      <c r="M84" s="48">
        <v>-2.8</v>
      </c>
      <c r="N84" s="48">
        <v>-7.5</v>
      </c>
      <c r="O84" s="48">
        <v>3.5</v>
      </c>
      <c r="P84" s="48">
        <v>1.7</v>
      </c>
      <c r="Q84" s="48">
        <v>0.6</v>
      </c>
      <c r="R84" s="48">
        <v>0.5</v>
      </c>
      <c r="S84" s="48">
        <v>2.7</v>
      </c>
      <c r="T84" s="48">
        <v>1.8</v>
      </c>
      <c r="U84" s="48">
        <v>2.9</v>
      </c>
      <c r="V84" s="48">
        <v>1</v>
      </c>
      <c r="W84" s="48">
        <v>0.5</v>
      </c>
      <c r="X84" s="48">
        <v>-1.1000000000000001</v>
      </c>
      <c r="Y84" s="48">
        <v>-13.2</v>
      </c>
      <c r="Z84" s="48">
        <v>10.7</v>
      </c>
      <c r="AA84" s="48">
        <v>2.2999999999999998</v>
      </c>
      <c r="AB84" s="48">
        <v>-1.2</v>
      </c>
      <c r="AC84" s="40"/>
    </row>
    <row r="85" spans="1:29" x14ac:dyDescent="0.2">
      <c r="A85" s="45" t="s">
        <v>86</v>
      </c>
      <c r="B85" s="45" t="s">
        <v>299</v>
      </c>
      <c r="C85" s="45" t="s">
        <v>298</v>
      </c>
      <c r="D85" s="40">
        <v>3</v>
      </c>
      <c r="E85" s="40">
        <v>3.3</v>
      </c>
      <c r="F85" s="40">
        <v>3.5</v>
      </c>
      <c r="G85" s="40">
        <v>0.2</v>
      </c>
      <c r="H85" s="40">
        <v>2.2000000000000002</v>
      </c>
      <c r="I85" s="40">
        <v>2.9</v>
      </c>
      <c r="J85" s="40">
        <v>0.6</v>
      </c>
      <c r="K85" s="40">
        <v>-0.7</v>
      </c>
      <c r="L85" s="40">
        <v>2.7</v>
      </c>
      <c r="M85" s="40">
        <v>-2.5</v>
      </c>
      <c r="N85" s="40">
        <v>-6.8</v>
      </c>
      <c r="O85" s="40">
        <v>1.9</v>
      </c>
      <c r="P85" s="40">
        <v>0.6</v>
      </c>
      <c r="Q85" s="40">
        <v>0.3</v>
      </c>
      <c r="R85" s="40">
        <v>1.1000000000000001</v>
      </c>
      <c r="S85" s="40">
        <v>1.8</v>
      </c>
      <c r="T85" s="40">
        <v>1.2</v>
      </c>
      <c r="U85" s="40">
        <v>1.4</v>
      </c>
      <c r="V85" s="40">
        <v>0.6</v>
      </c>
      <c r="W85" s="40">
        <v>1.9</v>
      </c>
      <c r="X85" s="40">
        <v>-0.5</v>
      </c>
      <c r="Y85" s="40">
        <v>-13</v>
      </c>
      <c r="Z85" s="40">
        <v>11.6</v>
      </c>
      <c r="AA85" s="40">
        <v>3.6</v>
      </c>
      <c r="AB85" s="40">
        <v>0.5</v>
      </c>
      <c r="AC85" s="40"/>
    </row>
    <row r="86" spans="1:29" x14ac:dyDescent="0.2">
      <c r="A86" s="45" t="s">
        <v>86</v>
      </c>
      <c r="B86" s="45" t="s">
        <v>297</v>
      </c>
      <c r="C86" s="45" t="s">
        <v>296</v>
      </c>
      <c r="D86" s="40">
        <v>3.3</v>
      </c>
      <c r="E86" s="40">
        <v>4.7</v>
      </c>
      <c r="F86" s="40">
        <v>8.1999999999999993</v>
      </c>
      <c r="G86" s="40">
        <v>-2.8</v>
      </c>
      <c r="H86" s="40">
        <v>2.4</v>
      </c>
      <c r="I86" s="40">
        <v>1</v>
      </c>
      <c r="J86" s="40">
        <v>1.1000000000000001</v>
      </c>
      <c r="K86" s="40">
        <v>0.7</v>
      </c>
      <c r="L86" s="40">
        <v>1.5</v>
      </c>
      <c r="M86" s="40">
        <v>-3.6</v>
      </c>
      <c r="N86" s="40">
        <v>-9.3000000000000007</v>
      </c>
      <c r="O86" s="40">
        <v>5.8</v>
      </c>
      <c r="P86" s="40">
        <v>4.4000000000000004</v>
      </c>
      <c r="Q86" s="40">
        <v>0.3</v>
      </c>
      <c r="R86" s="40">
        <v>0</v>
      </c>
      <c r="S86" s="40">
        <v>3.3</v>
      </c>
      <c r="T86" s="40">
        <v>7.7</v>
      </c>
      <c r="U86" s="40">
        <v>6.5</v>
      </c>
      <c r="V86" s="40">
        <v>7</v>
      </c>
      <c r="W86" s="40">
        <v>0.6</v>
      </c>
      <c r="X86" s="40">
        <v>-0.8</v>
      </c>
      <c r="Y86" s="40">
        <v>-15.3</v>
      </c>
      <c r="Z86" s="40">
        <v>5.2</v>
      </c>
      <c r="AA86" s="40">
        <v>6.9</v>
      </c>
      <c r="AB86" s="40">
        <v>-0.5</v>
      </c>
      <c r="AC86" s="40"/>
    </row>
    <row r="87" spans="1:29" x14ac:dyDescent="0.2">
      <c r="A87" s="45" t="s">
        <v>86</v>
      </c>
      <c r="B87" s="45" t="s">
        <v>295</v>
      </c>
      <c r="C87" s="45" t="s">
        <v>294</v>
      </c>
      <c r="D87" s="40">
        <v>3</v>
      </c>
      <c r="E87" s="40">
        <v>4.2</v>
      </c>
      <c r="F87" s="40">
        <v>3.7</v>
      </c>
      <c r="G87" s="40">
        <v>-0.9</v>
      </c>
      <c r="H87" s="40">
        <v>1.9</v>
      </c>
      <c r="I87" s="40">
        <v>2.2999999999999998</v>
      </c>
      <c r="J87" s="40">
        <v>2.6</v>
      </c>
      <c r="K87" s="40">
        <v>-2.8</v>
      </c>
      <c r="L87" s="40">
        <v>4.2</v>
      </c>
      <c r="M87" s="40">
        <v>-0.7</v>
      </c>
      <c r="N87" s="40">
        <v>-6.3</v>
      </c>
      <c r="O87" s="40">
        <v>3.7</v>
      </c>
      <c r="P87" s="40">
        <v>-0.1</v>
      </c>
      <c r="Q87" s="40">
        <v>-0.5</v>
      </c>
      <c r="R87" s="40">
        <v>-1.5</v>
      </c>
      <c r="S87" s="40">
        <v>4.9000000000000004</v>
      </c>
      <c r="T87" s="40">
        <v>3.2</v>
      </c>
      <c r="U87" s="40">
        <v>4.7</v>
      </c>
      <c r="V87" s="40">
        <v>-4.0999999999999996</v>
      </c>
      <c r="W87" s="40">
        <v>-0.9</v>
      </c>
      <c r="X87" s="40">
        <v>-1</v>
      </c>
      <c r="Y87" s="40">
        <v>-14.1</v>
      </c>
      <c r="Z87" s="40">
        <v>10.7</v>
      </c>
      <c r="AA87" s="40">
        <v>-0.8</v>
      </c>
      <c r="AB87" s="40">
        <v>-2.2000000000000002</v>
      </c>
      <c r="AC87" s="40"/>
    </row>
    <row r="88" spans="1:29" x14ac:dyDescent="0.2">
      <c r="A88" s="45" t="s">
        <v>86</v>
      </c>
      <c r="B88" s="45" t="s">
        <v>293</v>
      </c>
      <c r="C88" s="45" t="s">
        <v>292</v>
      </c>
      <c r="D88" s="40">
        <v>4.2</v>
      </c>
      <c r="E88" s="40">
        <v>2.8</v>
      </c>
      <c r="F88" s="40">
        <v>4</v>
      </c>
      <c r="G88" s="40">
        <v>0.5</v>
      </c>
      <c r="H88" s="40">
        <v>-0.3</v>
      </c>
      <c r="I88" s="40">
        <v>1.7</v>
      </c>
      <c r="J88" s="40">
        <v>-0.4</v>
      </c>
      <c r="K88" s="40">
        <v>1.8</v>
      </c>
      <c r="L88" s="40">
        <v>0.1</v>
      </c>
      <c r="M88" s="40">
        <v>-4.5</v>
      </c>
      <c r="N88" s="40">
        <v>-8.1999999999999993</v>
      </c>
      <c r="O88" s="40">
        <v>5.0999999999999996</v>
      </c>
      <c r="P88" s="40">
        <v>2.7</v>
      </c>
      <c r="Q88" s="40">
        <v>2.4</v>
      </c>
      <c r="R88" s="40">
        <v>-0.1</v>
      </c>
      <c r="S88" s="40">
        <v>0.3</v>
      </c>
      <c r="T88" s="40">
        <v>-0.1</v>
      </c>
      <c r="U88" s="40">
        <v>1.6</v>
      </c>
      <c r="V88" s="40">
        <v>1.7</v>
      </c>
      <c r="W88" s="40">
        <v>-1.5</v>
      </c>
      <c r="X88" s="40">
        <v>-0.4</v>
      </c>
      <c r="Y88" s="40">
        <v>-13.7</v>
      </c>
      <c r="Z88" s="40">
        <v>13.3</v>
      </c>
      <c r="AA88" s="40">
        <v>1.3</v>
      </c>
      <c r="AB88" s="40">
        <v>-5.2</v>
      </c>
      <c r="AC88" s="40"/>
    </row>
    <row r="89" spans="1:29" x14ac:dyDescent="0.2">
      <c r="A89" s="45" t="s">
        <v>86</v>
      </c>
      <c r="B89" s="45" t="s">
        <v>291</v>
      </c>
      <c r="C89" s="45" t="s">
        <v>290</v>
      </c>
      <c r="D89" s="40">
        <v>4.5999999999999996</v>
      </c>
      <c r="E89" s="40">
        <v>0.1</v>
      </c>
      <c r="F89" s="40">
        <v>3.8</v>
      </c>
      <c r="G89" s="40">
        <v>-0.8</v>
      </c>
      <c r="H89" s="40">
        <v>1.7</v>
      </c>
      <c r="I89" s="40">
        <v>-1.3</v>
      </c>
      <c r="J89" s="40">
        <v>-2.4</v>
      </c>
      <c r="K89" s="40">
        <v>0.8</v>
      </c>
      <c r="L89" s="40">
        <v>-4</v>
      </c>
      <c r="M89" s="40">
        <v>-5.6</v>
      </c>
      <c r="N89" s="40">
        <v>-8.1999999999999993</v>
      </c>
      <c r="O89" s="40">
        <v>2.7</v>
      </c>
      <c r="P89" s="40">
        <v>-1</v>
      </c>
      <c r="Q89" s="40">
        <v>0.2</v>
      </c>
      <c r="R89" s="40">
        <v>-0.3</v>
      </c>
      <c r="S89" s="40">
        <v>5</v>
      </c>
      <c r="T89" s="40">
        <v>2.2000000000000002</v>
      </c>
      <c r="U89" s="40">
        <v>2.6</v>
      </c>
      <c r="V89" s="40">
        <v>1</v>
      </c>
      <c r="W89" s="40">
        <v>0.5</v>
      </c>
      <c r="X89" s="40">
        <v>-4.2</v>
      </c>
      <c r="Y89" s="40">
        <v>-8.1</v>
      </c>
      <c r="Z89" s="40">
        <v>5.4</v>
      </c>
      <c r="AA89" s="40">
        <v>-1.8</v>
      </c>
      <c r="AB89" s="40">
        <v>-1.6</v>
      </c>
      <c r="AC89" s="40"/>
    </row>
    <row r="90" spans="1:29" x14ac:dyDescent="0.2">
      <c r="A90" s="45" t="s">
        <v>86</v>
      </c>
      <c r="B90" s="45" t="s">
        <v>289</v>
      </c>
      <c r="C90" s="45" t="s">
        <v>288</v>
      </c>
      <c r="D90" s="40">
        <v>2.1</v>
      </c>
      <c r="E90" s="40">
        <v>2.2000000000000002</v>
      </c>
      <c r="F90" s="40">
        <v>0.7</v>
      </c>
      <c r="G90" s="40">
        <v>-0.3</v>
      </c>
      <c r="H90" s="40">
        <v>0.8</v>
      </c>
      <c r="I90" s="40">
        <v>1.6</v>
      </c>
      <c r="J90" s="40">
        <v>0.2</v>
      </c>
      <c r="K90" s="40">
        <v>0.4</v>
      </c>
      <c r="L90" s="40">
        <v>-0.6</v>
      </c>
      <c r="M90" s="40">
        <v>-3.9</v>
      </c>
      <c r="N90" s="40">
        <v>-8</v>
      </c>
      <c r="O90" s="40">
        <v>4.2</v>
      </c>
      <c r="P90" s="40">
        <v>4.0999999999999996</v>
      </c>
      <c r="Q90" s="40">
        <v>2.2999999999999998</v>
      </c>
      <c r="R90" s="40">
        <v>3.1</v>
      </c>
      <c r="S90" s="40">
        <v>4.5</v>
      </c>
      <c r="T90" s="40">
        <v>0.2</v>
      </c>
      <c r="U90" s="40">
        <v>2.1</v>
      </c>
      <c r="V90" s="40">
        <v>-1</v>
      </c>
      <c r="W90" s="40">
        <v>-2.5</v>
      </c>
      <c r="X90" s="40">
        <v>-3.6</v>
      </c>
      <c r="Y90" s="40">
        <v>-13.4</v>
      </c>
      <c r="Z90" s="40">
        <v>13.4</v>
      </c>
      <c r="AA90" s="40">
        <v>-0.5</v>
      </c>
      <c r="AB90" s="40">
        <v>-1.9</v>
      </c>
      <c r="AC90" s="40"/>
    </row>
    <row r="91" spans="1:29" x14ac:dyDescent="0.2">
      <c r="A91" s="45" t="s">
        <v>86</v>
      </c>
      <c r="B91" s="45" t="s">
        <v>287</v>
      </c>
      <c r="C91" s="45" t="s">
        <v>286</v>
      </c>
      <c r="D91" s="40">
        <v>4.2</v>
      </c>
      <c r="E91" s="40">
        <v>3.4</v>
      </c>
      <c r="F91" s="40">
        <v>3.1</v>
      </c>
      <c r="G91" s="40">
        <v>-0.1</v>
      </c>
      <c r="H91" s="40">
        <v>0.1</v>
      </c>
      <c r="I91" s="40">
        <v>2</v>
      </c>
      <c r="J91" s="40">
        <v>0.5</v>
      </c>
      <c r="K91" s="40">
        <v>1.1000000000000001</v>
      </c>
      <c r="L91" s="40">
        <v>-0.7</v>
      </c>
      <c r="M91" s="40">
        <v>-3.1</v>
      </c>
      <c r="N91" s="40">
        <v>-7.9</v>
      </c>
      <c r="O91" s="40">
        <v>2.1</v>
      </c>
      <c r="P91" s="40">
        <v>2.7</v>
      </c>
      <c r="Q91" s="40">
        <v>-2.4</v>
      </c>
      <c r="R91" s="40">
        <v>-1.2</v>
      </c>
      <c r="S91" s="40">
        <v>0</v>
      </c>
      <c r="T91" s="40">
        <v>-4.9000000000000004</v>
      </c>
      <c r="U91" s="40">
        <v>4.4000000000000004</v>
      </c>
      <c r="V91" s="40">
        <v>4</v>
      </c>
      <c r="W91" s="40">
        <v>2</v>
      </c>
      <c r="X91" s="40">
        <v>0.2</v>
      </c>
      <c r="Y91" s="40">
        <v>-14.2</v>
      </c>
      <c r="Z91" s="40">
        <v>14.2</v>
      </c>
      <c r="AA91" s="40">
        <v>1.1000000000000001</v>
      </c>
      <c r="AB91" s="40">
        <v>-3.6</v>
      </c>
      <c r="AC91" s="40"/>
    </row>
    <row r="92" spans="1:29" x14ac:dyDescent="0.2">
      <c r="A92" s="51" t="s">
        <v>88</v>
      </c>
      <c r="B92" s="51" t="s">
        <v>285</v>
      </c>
      <c r="C92" s="51" t="s">
        <v>284</v>
      </c>
      <c r="D92" s="50">
        <v>3.3</v>
      </c>
      <c r="E92" s="50">
        <v>4.9000000000000004</v>
      </c>
      <c r="F92" s="50">
        <v>2.5</v>
      </c>
      <c r="G92" s="50">
        <v>0.5</v>
      </c>
      <c r="H92" s="50">
        <v>3.1</v>
      </c>
      <c r="I92" s="50">
        <v>0.7</v>
      </c>
      <c r="J92" s="50">
        <v>2.7</v>
      </c>
      <c r="K92" s="50">
        <v>1.8</v>
      </c>
      <c r="L92" s="50">
        <v>0.9</v>
      </c>
      <c r="M92" s="50">
        <v>-0.9</v>
      </c>
      <c r="N92" s="50">
        <v>-6.1</v>
      </c>
      <c r="O92" s="50">
        <v>2.2000000000000002</v>
      </c>
      <c r="P92" s="50">
        <v>0.4</v>
      </c>
      <c r="Q92" s="50">
        <v>0.6</v>
      </c>
      <c r="R92" s="50">
        <v>1.6</v>
      </c>
      <c r="S92" s="50">
        <v>3.3</v>
      </c>
      <c r="T92" s="50">
        <v>1</v>
      </c>
      <c r="U92" s="50">
        <v>1.2</v>
      </c>
      <c r="V92" s="50">
        <v>4.3</v>
      </c>
      <c r="W92" s="50">
        <v>-0.5</v>
      </c>
      <c r="X92" s="50">
        <v>1.2</v>
      </c>
      <c r="Y92" s="50">
        <v>-11.4</v>
      </c>
      <c r="Z92" s="50">
        <v>9.5</v>
      </c>
      <c r="AA92" s="50">
        <v>2.9</v>
      </c>
      <c r="AB92" s="50">
        <v>-1.3</v>
      </c>
      <c r="AC92" s="43"/>
    </row>
    <row r="93" spans="1:29" x14ac:dyDescent="0.2">
      <c r="A93" s="49" t="s">
        <v>87</v>
      </c>
      <c r="B93" s="49" t="s">
        <v>283</v>
      </c>
      <c r="C93" s="49" t="s">
        <v>282</v>
      </c>
      <c r="D93" s="48">
        <v>4.0999999999999996</v>
      </c>
      <c r="E93" s="48">
        <v>5.6</v>
      </c>
      <c r="F93" s="48">
        <v>1.5</v>
      </c>
      <c r="G93" s="48">
        <v>0.3</v>
      </c>
      <c r="H93" s="48">
        <v>3.1</v>
      </c>
      <c r="I93" s="48">
        <v>1.7</v>
      </c>
      <c r="J93" s="48">
        <v>3.8</v>
      </c>
      <c r="K93" s="48">
        <v>0.7</v>
      </c>
      <c r="L93" s="48">
        <v>1.3</v>
      </c>
      <c r="M93" s="48">
        <v>0.1</v>
      </c>
      <c r="N93" s="48">
        <v>-7.9</v>
      </c>
      <c r="O93" s="48">
        <v>0.7</v>
      </c>
      <c r="P93" s="48">
        <v>-0.3</v>
      </c>
      <c r="Q93" s="48">
        <v>-0.3</v>
      </c>
      <c r="R93" s="48">
        <v>3.8</v>
      </c>
      <c r="S93" s="48">
        <v>4.8</v>
      </c>
      <c r="T93" s="48">
        <v>2</v>
      </c>
      <c r="U93" s="48">
        <v>0.9</v>
      </c>
      <c r="V93" s="48">
        <v>5.7</v>
      </c>
      <c r="W93" s="48">
        <v>-0.5</v>
      </c>
      <c r="X93" s="48">
        <v>1</v>
      </c>
      <c r="Y93" s="48">
        <v>-12</v>
      </c>
      <c r="Z93" s="48">
        <v>10.3</v>
      </c>
      <c r="AA93" s="48">
        <v>2.9</v>
      </c>
      <c r="AB93" s="48">
        <v>-1.1000000000000001</v>
      </c>
      <c r="AC93" s="40"/>
    </row>
    <row r="94" spans="1:29" x14ac:dyDescent="0.2">
      <c r="A94" s="45" t="s">
        <v>86</v>
      </c>
      <c r="B94" s="45" t="s">
        <v>281</v>
      </c>
      <c r="C94" s="45" t="s">
        <v>280</v>
      </c>
      <c r="D94" s="40">
        <v>2.8</v>
      </c>
      <c r="E94" s="40">
        <v>10.1</v>
      </c>
      <c r="F94" s="40">
        <v>1</v>
      </c>
      <c r="G94" s="40">
        <v>-0.5</v>
      </c>
      <c r="H94" s="40">
        <v>3.6</v>
      </c>
      <c r="I94" s="40">
        <v>2.1</v>
      </c>
      <c r="J94" s="40">
        <v>1.8</v>
      </c>
      <c r="K94" s="40">
        <v>3.9</v>
      </c>
      <c r="L94" s="40">
        <v>3.8</v>
      </c>
      <c r="M94" s="40">
        <v>-0.1</v>
      </c>
      <c r="N94" s="40">
        <v>-9.9</v>
      </c>
      <c r="O94" s="40">
        <v>-0.7</v>
      </c>
      <c r="P94" s="40">
        <v>-0.8</v>
      </c>
      <c r="Q94" s="40">
        <v>0.6</v>
      </c>
      <c r="R94" s="40">
        <v>6.8</v>
      </c>
      <c r="S94" s="40">
        <v>7</v>
      </c>
      <c r="T94" s="40">
        <v>-0.8</v>
      </c>
      <c r="U94" s="40">
        <v>-0.5</v>
      </c>
      <c r="V94" s="40">
        <v>4.9000000000000004</v>
      </c>
      <c r="W94" s="40">
        <v>0.1</v>
      </c>
      <c r="X94" s="40">
        <v>0.7</v>
      </c>
      <c r="Y94" s="40">
        <v>-28.5</v>
      </c>
      <c r="Z94" s="40">
        <v>11.3</v>
      </c>
      <c r="AA94" s="40">
        <v>33.700000000000003</v>
      </c>
      <c r="AB94" s="40">
        <v>2.7</v>
      </c>
      <c r="AC94" s="40"/>
    </row>
    <row r="95" spans="1:29" x14ac:dyDescent="0.2">
      <c r="A95" s="45" t="s">
        <v>86</v>
      </c>
      <c r="B95" s="45" t="s">
        <v>279</v>
      </c>
      <c r="C95" s="45" t="s">
        <v>278</v>
      </c>
      <c r="D95" s="40">
        <v>4.2</v>
      </c>
      <c r="E95" s="40">
        <v>2</v>
      </c>
      <c r="F95" s="40">
        <v>2.8</v>
      </c>
      <c r="G95" s="40">
        <v>-0.7</v>
      </c>
      <c r="H95" s="40">
        <v>1.5</v>
      </c>
      <c r="I95" s="40">
        <v>0</v>
      </c>
      <c r="J95" s="40">
        <v>3.3</v>
      </c>
      <c r="K95" s="40">
        <v>0.5</v>
      </c>
      <c r="L95" s="40">
        <v>-1.3</v>
      </c>
      <c r="M95" s="40">
        <v>-1.2</v>
      </c>
      <c r="N95" s="40">
        <v>-6.6</v>
      </c>
      <c r="O95" s="40">
        <v>-0.2</v>
      </c>
      <c r="P95" s="40">
        <v>-0.9</v>
      </c>
      <c r="Q95" s="40">
        <v>-1</v>
      </c>
      <c r="R95" s="40">
        <v>0.5</v>
      </c>
      <c r="S95" s="40">
        <v>2.9</v>
      </c>
      <c r="T95" s="40">
        <v>1.6</v>
      </c>
      <c r="U95" s="40">
        <v>1.3</v>
      </c>
      <c r="V95" s="40">
        <v>4</v>
      </c>
      <c r="W95" s="40">
        <v>-2.2000000000000002</v>
      </c>
      <c r="X95" s="40">
        <v>0.9</v>
      </c>
      <c r="Y95" s="40">
        <v>-15.9</v>
      </c>
      <c r="Z95" s="40">
        <v>13</v>
      </c>
      <c r="AA95" s="40">
        <v>2.8</v>
      </c>
      <c r="AB95" s="40">
        <v>-4.3</v>
      </c>
      <c r="AC95" s="40"/>
    </row>
    <row r="96" spans="1:29" x14ac:dyDescent="0.2">
      <c r="A96" s="45" t="s">
        <v>86</v>
      </c>
      <c r="B96" s="45" t="s">
        <v>277</v>
      </c>
      <c r="C96" s="45" t="s">
        <v>276</v>
      </c>
      <c r="D96" s="40">
        <v>2.1</v>
      </c>
      <c r="E96" s="40">
        <v>3.7</v>
      </c>
      <c r="F96" s="40">
        <v>0.4</v>
      </c>
      <c r="G96" s="40">
        <v>0</v>
      </c>
      <c r="H96" s="40">
        <v>0.6</v>
      </c>
      <c r="I96" s="40">
        <v>-0.5</v>
      </c>
      <c r="J96" s="40">
        <v>1.4</v>
      </c>
      <c r="K96" s="40">
        <v>-0.8</v>
      </c>
      <c r="L96" s="40">
        <v>-2.2999999999999998</v>
      </c>
      <c r="M96" s="40">
        <v>-1.6</v>
      </c>
      <c r="N96" s="40">
        <v>-6.8</v>
      </c>
      <c r="O96" s="40">
        <v>3.3</v>
      </c>
      <c r="P96" s="40">
        <v>1.2</v>
      </c>
      <c r="Q96" s="40">
        <v>-0.2</v>
      </c>
      <c r="R96" s="40">
        <v>4.3</v>
      </c>
      <c r="S96" s="40">
        <v>2.7</v>
      </c>
      <c r="T96" s="40">
        <v>-0.3</v>
      </c>
      <c r="U96" s="40">
        <v>3.1</v>
      </c>
      <c r="V96" s="40">
        <v>5.4</v>
      </c>
      <c r="W96" s="40">
        <v>-2.2999999999999998</v>
      </c>
      <c r="X96" s="40">
        <v>-3.7</v>
      </c>
      <c r="Y96" s="40">
        <v>-14.9</v>
      </c>
      <c r="Z96" s="40">
        <v>8.5</v>
      </c>
      <c r="AA96" s="40">
        <v>1.7</v>
      </c>
      <c r="AB96" s="40">
        <v>-0.4</v>
      </c>
      <c r="AC96" s="40"/>
    </row>
    <row r="97" spans="1:29" x14ac:dyDescent="0.2">
      <c r="A97" s="45" t="s">
        <v>86</v>
      </c>
      <c r="B97" s="45" t="s">
        <v>275</v>
      </c>
      <c r="C97" s="45" t="s">
        <v>274</v>
      </c>
      <c r="D97" s="40">
        <v>7.1</v>
      </c>
      <c r="E97" s="40">
        <v>6</v>
      </c>
      <c r="F97" s="40">
        <v>1.4</v>
      </c>
      <c r="G97" s="40">
        <v>0.7</v>
      </c>
      <c r="H97" s="40">
        <v>4.2</v>
      </c>
      <c r="I97" s="40">
        <v>2.1</v>
      </c>
      <c r="J97" s="40">
        <v>6.1</v>
      </c>
      <c r="K97" s="40">
        <v>1.8</v>
      </c>
      <c r="L97" s="40">
        <v>1</v>
      </c>
      <c r="M97" s="40">
        <v>1.6</v>
      </c>
      <c r="N97" s="40">
        <v>-9.1999999999999993</v>
      </c>
      <c r="O97" s="40">
        <v>-0.8</v>
      </c>
      <c r="P97" s="40">
        <v>-2.7</v>
      </c>
      <c r="Q97" s="40">
        <v>-0.5</v>
      </c>
      <c r="R97" s="40">
        <v>3.1</v>
      </c>
      <c r="S97" s="40">
        <v>5.4</v>
      </c>
      <c r="T97" s="40">
        <v>0.4</v>
      </c>
      <c r="U97" s="40">
        <v>-0.9</v>
      </c>
      <c r="V97" s="40">
        <v>4.0999999999999996</v>
      </c>
      <c r="W97" s="40">
        <v>0.9</v>
      </c>
      <c r="X97" s="40">
        <v>4.8</v>
      </c>
      <c r="Y97" s="40">
        <v>-6.5</v>
      </c>
      <c r="Z97" s="40">
        <v>10.6</v>
      </c>
      <c r="AA97" s="40">
        <v>-2.5</v>
      </c>
      <c r="AB97" s="40">
        <v>0.6</v>
      </c>
      <c r="AC97" s="40"/>
    </row>
    <row r="98" spans="1:29" x14ac:dyDescent="0.2">
      <c r="A98" s="45" t="s">
        <v>86</v>
      </c>
      <c r="B98" s="45" t="s">
        <v>273</v>
      </c>
      <c r="C98" s="45" t="s">
        <v>272</v>
      </c>
      <c r="D98" s="40">
        <v>3.1</v>
      </c>
      <c r="E98" s="40">
        <v>5.4</v>
      </c>
      <c r="F98" s="40">
        <v>2.1</v>
      </c>
      <c r="G98" s="40">
        <v>0.4</v>
      </c>
      <c r="H98" s="40">
        <v>2.9</v>
      </c>
      <c r="I98" s="40">
        <v>2.6</v>
      </c>
      <c r="J98" s="40">
        <v>2.7</v>
      </c>
      <c r="K98" s="40">
        <v>-0.6</v>
      </c>
      <c r="L98" s="40">
        <v>2.2000000000000002</v>
      </c>
      <c r="M98" s="40">
        <v>-1.1000000000000001</v>
      </c>
      <c r="N98" s="40">
        <v>-7.5</v>
      </c>
      <c r="O98" s="40">
        <v>1.6</v>
      </c>
      <c r="P98" s="40">
        <v>0.9</v>
      </c>
      <c r="Q98" s="40">
        <v>-0.5</v>
      </c>
      <c r="R98" s="40">
        <v>4.2</v>
      </c>
      <c r="S98" s="40">
        <v>4.5999999999999996</v>
      </c>
      <c r="T98" s="40">
        <v>5</v>
      </c>
      <c r="U98" s="40">
        <v>2.7</v>
      </c>
      <c r="V98" s="40">
        <v>7.5</v>
      </c>
      <c r="W98" s="40">
        <v>-0.8</v>
      </c>
      <c r="X98" s="40">
        <v>-0.4</v>
      </c>
      <c r="Y98" s="40">
        <v>-10.199999999999999</v>
      </c>
      <c r="Z98" s="40">
        <v>9.9</v>
      </c>
      <c r="AA98" s="40">
        <v>0.3</v>
      </c>
      <c r="AB98" s="40">
        <v>-2.5</v>
      </c>
      <c r="AC98" s="40"/>
    </row>
    <row r="99" spans="1:29" x14ac:dyDescent="0.2">
      <c r="A99" s="49" t="s">
        <v>87</v>
      </c>
      <c r="B99" s="49" t="s">
        <v>271</v>
      </c>
      <c r="C99" s="49" t="s">
        <v>270</v>
      </c>
      <c r="D99" s="48">
        <v>0.7</v>
      </c>
      <c r="E99" s="48">
        <v>4.5</v>
      </c>
      <c r="F99" s="48">
        <v>3.7</v>
      </c>
      <c r="G99" s="48">
        <v>-0.4</v>
      </c>
      <c r="H99" s="48">
        <v>5.6</v>
      </c>
      <c r="I99" s="48">
        <v>-0.2</v>
      </c>
      <c r="J99" s="48">
        <v>0.5</v>
      </c>
      <c r="K99" s="48">
        <v>1.4</v>
      </c>
      <c r="L99" s="48">
        <v>0.5</v>
      </c>
      <c r="M99" s="48">
        <v>-1.9</v>
      </c>
      <c r="N99" s="48">
        <v>-5.6</v>
      </c>
      <c r="O99" s="48">
        <v>4.0999999999999996</v>
      </c>
      <c r="P99" s="48">
        <v>-0.6</v>
      </c>
      <c r="Q99" s="48">
        <v>0.3</v>
      </c>
      <c r="R99" s="48">
        <v>0</v>
      </c>
      <c r="S99" s="48">
        <v>3.1</v>
      </c>
      <c r="T99" s="48">
        <v>1.6</v>
      </c>
      <c r="U99" s="48">
        <v>1.5</v>
      </c>
      <c r="V99" s="48">
        <v>4.8</v>
      </c>
      <c r="W99" s="48">
        <v>-0.1</v>
      </c>
      <c r="X99" s="48">
        <v>-0.9</v>
      </c>
      <c r="Y99" s="48">
        <v>-13.6</v>
      </c>
      <c r="Z99" s="48">
        <v>12.6</v>
      </c>
      <c r="AA99" s="48">
        <v>4.3</v>
      </c>
      <c r="AB99" s="48">
        <v>-2.4</v>
      </c>
      <c r="AC99" s="40"/>
    </row>
    <row r="100" spans="1:29" x14ac:dyDescent="0.2">
      <c r="A100" s="45" t="s">
        <v>86</v>
      </c>
      <c r="B100" s="45" t="s">
        <v>269</v>
      </c>
      <c r="C100" s="45" t="s">
        <v>268</v>
      </c>
      <c r="D100" s="40">
        <v>3.2</v>
      </c>
      <c r="E100" s="40">
        <v>4.8</v>
      </c>
      <c r="F100" s="40">
        <v>5.6</v>
      </c>
      <c r="G100" s="40">
        <v>1</v>
      </c>
      <c r="H100" s="40">
        <v>4.7</v>
      </c>
      <c r="I100" s="40">
        <v>2.6</v>
      </c>
      <c r="J100" s="40">
        <v>-0.2</v>
      </c>
      <c r="K100" s="40">
        <v>3.6</v>
      </c>
      <c r="L100" s="40">
        <v>-0.6</v>
      </c>
      <c r="M100" s="40">
        <v>-2.1</v>
      </c>
      <c r="N100" s="40">
        <v>-3.6</v>
      </c>
      <c r="O100" s="40">
        <v>0.9</v>
      </c>
      <c r="P100" s="40">
        <v>-0.7</v>
      </c>
      <c r="Q100" s="40">
        <v>1.2</v>
      </c>
      <c r="R100" s="40">
        <v>-0.8</v>
      </c>
      <c r="S100" s="40">
        <v>0.2</v>
      </c>
      <c r="T100" s="40">
        <v>-1.3</v>
      </c>
      <c r="U100" s="40">
        <v>0.8</v>
      </c>
      <c r="V100" s="40">
        <v>4.7</v>
      </c>
      <c r="W100" s="40">
        <v>0.3</v>
      </c>
      <c r="X100" s="40">
        <v>-4.3</v>
      </c>
      <c r="Y100" s="40">
        <v>-18.399999999999999</v>
      </c>
      <c r="Z100" s="40">
        <v>15.1</v>
      </c>
      <c r="AA100" s="40">
        <v>-1.5</v>
      </c>
      <c r="AB100" s="40">
        <v>-2.7</v>
      </c>
      <c r="AC100" s="40"/>
    </row>
    <row r="101" spans="1:29" x14ac:dyDescent="0.2">
      <c r="A101" s="45" t="s">
        <v>86</v>
      </c>
      <c r="B101" s="45" t="s">
        <v>267</v>
      </c>
      <c r="C101" s="45" t="s">
        <v>266</v>
      </c>
      <c r="D101" s="40">
        <v>-1.8</v>
      </c>
      <c r="E101" s="40">
        <v>1</v>
      </c>
      <c r="F101" s="40">
        <v>2.4</v>
      </c>
      <c r="G101" s="40">
        <v>-2</v>
      </c>
      <c r="H101" s="40">
        <v>9</v>
      </c>
      <c r="I101" s="40">
        <v>0.4</v>
      </c>
      <c r="J101" s="40">
        <v>0.6</v>
      </c>
      <c r="K101" s="40">
        <v>2</v>
      </c>
      <c r="L101" s="40">
        <v>-2.9</v>
      </c>
      <c r="M101" s="40">
        <v>-5.2</v>
      </c>
      <c r="N101" s="40">
        <v>-5.0999999999999996</v>
      </c>
      <c r="O101" s="40">
        <v>3.5</v>
      </c>
      <c r="P101" s="40">
        <v>-5.2</v>
      </c>
      <c r="Q101" s="40">
        <v>0.7</v>
      </c>
      <c r="R101" s="40">
        <v>-4.5</v>
      </c>
      <c r="S101" s="40">
        <v>4.4000000000000004</v>
      </c>
      <c r="T101" s="40">
        <v>4.5</v>
      </c>
      <c r="U101" s="40">
        <v>-1.4</v>
      </c>
      <c r="V101" s="40">
        <v>7.2</v>
      </c>
      <c r="W101" s="40">
        <v>0.4</v>
      </c>
      <c r="X101" s="40">
        <v>-1.2</v>
      </c>
      <c r="Y101" s="40">
        <v>-12.6</v>
      </c>
      <c r="Z101" s="40">
        <v>13.7</v>
      </c>
      <c r="AA101" s="40">
        <v>8.9</v>
      </c>
      <c r="AB101" s="40">
        <v>0.4</v>
      </c>
      <c r="AC101" s="40"/>
    </row>
    <row r="102" spans="1:29" x14ac:dyDescent="0.2">
      <c r="A102" s="45" t="s">
        <v>86</v>
      </c>
      <c r="B102" s="45" t="s">
        <v>265</v>
      </c>
      <c r="C102" s="45" t="s">
        <v>264</v>
      </c>
      <c r="D102" s="40">
        <v>-0.2</v>
      </c>
      <c r="E102" s="40">
        <v>4.3</v>
      </c>
      <c r="F102" s="40">
        <v>2.4</v>
      </c>
      <c r="G102" s="40">
        <v>-1.4</v>
      </c>
      <c r="H102" s="40">
        <v>4.5</v>
      </c>
      <c r="I102" s="40">
        <v>-0.7</v>
      </c>
      <c r="J102" s="40">
        <v>0.2</v>
      </c>
      <c r="K102" s="40">
        <v>-0.1</v>
      </c>
      <c r="L102" s="40">
        <v>0.1</v>
      </c>
      <c r="M102" s="40">
        <v>-1.8</v>
      </c>
      <c r="N102" s="40">
        <v>-5.0999999999999996</v>
      </c>
      <c r="O102" s="40">
        <v>5.0999999999999996</v>
      </c>
      <c r="P102" s="40">
        <v>0.1</v>
      </c>
      <c r="Q102" s="40">
        <v>0.6</v>
      </c>
      <c r="R102" s="40">
        <v>-0.1</v>
      </c>
      <c r="S102" s="40">
        <v>3.5</v>
      </c>
      <c r="T102" s="40">
        <v>4.0999999999999996</v>
      </c>
      <c r="U102" s="40">
        <v>4.4000000000000004</v>
      </c>
      <c r="V102" s="40">
        <v>6.5</v>
      </c>
      <c r="W102" s="40">
        <v>-0.7</v>
      </c>
      <c r="X102" s="40">
        <v>-2.2000000000000002</v>
      </c>
      <c r="Y102" s="40">
        <v>-14.3</v>
      </c>
      <c r="Z102" s="40">
        <v>12.3</v>
      </c>
      <c r="AA102" s="40">
        <v>0.8</v>
      </c>
      <c r="AB102" s="40">
        <v>-1.3</v>
      </c>
      <c r="AC102" s="40"/>
    </row>
    <row r="103" spans="1:29" x14ac:dyDescent="0.2">
      <c r="A103" s="45" t="s">
        <v>86</v>
      </c>
      <c r="B103" s="45" t="s">
        <v>263</v>
      </c>
      <c r="C103" s="45" t="s">
        <v>262</v>
      </c>
      <c r="D103" s="40">
        <v>1.6</v>
      </c>
      <c r="E103" s="40">
        <v>3.7</v>
      </c>
      <c r="F103" s="40">
        <v>3</v>
      </c>
      <c r="G103" s="40">
        <v>1.7</v>
      </c>
      <c r="H103" s="40">
        <v>6.1</v>
      </c>
      <c r="I103" s="40">
        <v>1</v>
      </c>
      <c r="J103" s="40">
        <v>0.3</v>
      </c>
      <c r="K103" s="40">
        <v>2.2999999999999998</v>
      </c>
      <c r="L103" s="40">
        <v>0</v>
      </c>
      <c r="M103" s="40">
        <v>-4</v>
      </c>
      <c r="N103" s="40">
        <v>-7.1</v>
      </c>
      <c r="O103" s="40">
        <v>5.0999999999999996</v>
      </c>
      <c r="P103" s="40">
        <v>-2.4</v>
      </c>
      <c r="Q103" s="40">
        <v>-2.2999999999999998</v>
      </c>
      <c r="R103" s="40">
        <v>0.6</v>
      </c>
      <c r="S103" s="40">
        <v>-0.2</v>
      </c>
      <c r="T103" s="40">
        <v>2.2000000000000002</v>
      </c>
      <c r="U103" s="40">
        <v>2.9</v>
      </c>
      <c r="V103" s="40">
        <v>4.3</v>
      </c>
      <c r="W103" s="40">
        <v>-0.9</v>
      </c>
      <c r="X103" s="40">
        <v>-2.9</v>
      </c>
      <c r="Y103" s="40">
        <v>-17.100000000000001</v>
      </c>
      <c r="Z103" s="40">
        <v>13.8</v>
      </c>
      <c r="AA103" s="40">
        <v>7.3</v>
      </c>
      <c r="AB103" s="40">
        <v>-1.4</v>
      </c>
      <c r="AC103" s="40"/>
    </row>
    <row r="104" spans="1:29" x14ac:dyDescent="0.2">
      <c r="A104" s="45" t="s">
        <v>86</v>
      </c>
      <c r="B104" s="45" t="s">
        <v>261</v>
      </c>
      <c r="C104" s="45" t="s">
        <v>260</v>
      </c>
      <c r="D104" s="40">
        <v>0.3</v>
      </c>
      <c r="E104" s="40">
        <v>6.2</v>
      </c>
      <c r="F104" s="40">
        <v>4</v>
      </c>
      <c r="G104" s="40">
        <v>-1.1000000000000001</v>
      </c>
      <c r="H104" s="40">
        <v>4</v>
      </c>
      <c r="I104" s="40">
        <v>-2.4</v>
      </c>
      <c r="J104" s="40">
        <v>0.3</v>
      </c>
      <c r="K104" s="40">
        <v>0.1</v>
      </c>
      <c r="L104" s="40">
        <v>3.1</v>
      </c>
      <c r="M104" s="40">
        <v>-2.4</v>
      </c>
      <c r="N104" s="40">
        <v>-4.2</v>
      </c>
      <c r="O104" s="40">
        <v>3.5</v>
      </c>
      <c r="P104" s="40">
        <v>-0.5</v>
      </c>
      <c r="Q104" s="40">
        <v>0.3</v>
      </c>
      <c r="R104" s="40">
        <v>-0.1</v>
      </c>
      <c r="S104" s="40">
        <v>6.9</v>
      </c>
      <c r="T104" s="40">
        <v>2.4</v>
      </c>
      <c r="U104" s="40">
        <v>-1.1000000000000001</v>
      </c>
      <c r="V104" s="40">
        <v>4.7</v>
      </c>
      <c r="W104" s="40">
        <v>0.7</v>
      </c>
      <c r="X104" s="40">
        <v>0.7</v>
      </c>
      <c r="Y104" s="40">
        <v>-12.8</v>
      </c>
      <c r="Z104" s="40">
        <v>11.7</v>
      </c>
      <c r="AA104" s="40">
        <v>3.8</v>
      </c>
      <c r="AB104" s="40">
        <v>-4.5</v>
      </c>
      <c r="AC104" s="40"/>
    </row>
    <row r="105" spans="1:29" x14ac:dyDescent="0.2">
      <c r="A105" s="45" t="s">
        <v>86</v>
      </c>
      <c r="B105" s="45" t="s">
        <v>259</v>
      </c>
      <c r="C105" s="45" t="s">
        <v>258</v>
      </c>
      <c r="D105" s="40">
        <v>0.7</v>
      </c>
      <c r="E105" s="40">
        <v>6.1</v>
      </c>
      <c r="F105" s="40">
        <v>4.5999999999999996</v>
      </c>
      <c r="G105" s="40">
        <v>-1.1000000000000001</v>
      </c>
      <c r="H105" s="40">
        <v>6.1</v>
      </c>
      <c r="I105" s="40">
        <v>-0.1</v>
      </c>
      <c r="J105" s="40">
        <v>1.1000000000000001</v>
      </c>
      <c r="K105" s="40">
        <v>2.9</v>
      </c>
      <c r="L105" s="40">
        <v>0.1</v>
      </c>
      <c r="M105" s="40">
        <v>1.8</v>
      </c>
      <c r="N105" s="40">
        <v>-8.3000000000000007</v>
      </c>
      <c r="O105" s="40">
        <v>3.5</v>
      </c>
      <c r="P105" s="40">
        <v>1.2</v>
      </c>
      <c r="Q105" s="40">
        <v>1</v>
      </c>
      <c r="R105" s="40">
        <v>2</v>
      </c>
      <c r="S105" s="40">
        <v>1.8</v>
      </c>
      <c r="T105" s="40">
        <v>-2.5</v>
      </c>
      <c r="U105" s="40">
        <v>1.3</v>
      </c>
      <c r="V105" s="40">
        <v>2.2000000000000002</v>
      </c>
      <c r="W105" s="40">
        <v>0.1</v>
      </c>
      <c r="X105" s="40">
        <v>2.6</v>
      </c>
      <c r="Y105" s="40">
        <v>-8.6</v>
      </c>
      <c r="Z105" s="40">
        <v>10.5</v>
      </c>
      <c r="AA105" s="40">
        <v>5.3</v>
      </c>
      <c r="AB105" s="40">
        <v>-3.4</v>
      </c>
      <c r="AC105" s="40"/>
    </row>
    <row r="106" spans="1:29" x14ac:dyDescent="0.2">
      <c r="A106" s="49" t="s">
        <v>87</v>
      </c>
      <c r="B106" s="49" t="s">
        <v>257</v>
      </c>
      <c r="C106" s="49" t="s">
        <v>256</v>
      </c>
      <c r="D106" s="48">
        <v>4.5</v>
      </c>
      <c r="E106" s="48">
        <v>4.2</v>
      </c>
      <c r="F106" s="48">
        <v>2.7</v>
      </c>
      <c r="G106" s="48">
        <v>1.1000000000000001</v>
      </c>
      <c r="H106" s="48">
        <v>0.3</v>
      </c>
      <c r="I106" s="48">
        <v>0.6</v>
      </c>
      <c r="J106" s="48">
        <v>3.9</v>
      </c>
      <c r="K106" s="48">
        <v>2.7</v>
      </c>
      <c r="L106" s="48">
        <v>2.4</v>
      </c>
      <c r="M106" s="48">
        <v>-2</v>
      </c>
      <c r="N106" s="48">
        <v>-6.5</v>
      </c>
      <c r="O106" s="48">
        <v>2</v>
      </c>
      <c r="P106" s="48">
        <v>1.1000000000000001</v>
      </c>
      <c r="Q106" s="48">
        <v>1</v>
      </c>
      <c r="R106" s="48">
        <v>-1</v>
      </c>
      <c r="S106" s="48">
        <v>2.1</v>
      </c>
      <c r="T106" s="48">
        <v>-0.6</v>
      </c>
      <c r="U106" s="48">
        <v>1.3</v>
      </c>
      <c r="V106" s="48">
        <v>4.2</v>
      </c>
      <c r="W106" s="48">
        <v>0.6</v>
      </c>
      <c r="X106" s="48">
        <v>1.1000000000000001</v>
      </c>
      <c r="Y106" s="48">
        <v>-7.4</v>
      </c>
      <c r="Z106" s="48">
        <v>6.1</v>
      </c>
      <c r="AA106" s="48">
        <v>1.6</v>
      </c>
      <c r="AB106" s="48">
        <v>-0.1</v>
      </c>
      <c r="AC106" s="40"/>
    </row>
    <row r="107" spans="1:29" x14ac:dyDescent="0.2">
      <c r="A107" s="45" t="s">
        <v>86</v>
      </c>
      <c r="B107" s="45" t="s">
        <v>255</v>
      </c>
      <c r="C107" s="45" t="s">
        <v>254</v>
      </c>
      <c r="D107" s="40">
        <v>4.2</v>
      </c>
      <c r="E107" s="40">
        <v>2.6</v>
      </c>
      <c r="F107" s="40">
        <v>0.6</v>
      </c>
      <c r="G107" s="40">
        <v>-0.8</v>
      </c>
      <c r="H107" s="40">
        <v>-0.5</v>
      </c>
      <c r="I107" s="40">
        <v>-0.5</v>
      </c>
      <c r="J107" s="40">
        <v>8.3000000000000007</v>
      </c>
      <c r="K107" s="40">
        <v>-1.9</v>
      </c>
      <c r="L107" s="40">
        <v>9.8000000000000007</v>
      </c>
      <c r="M107" s="40">
        <v>-3.5</v>
      </c>
      <c r="N107" s="40">
        <v>-14</v>
      </c>
      <c r="O107" s="40">
        <v>2.4</v>
      </c>
      <c r="P107" s="40">
        <v>0.5</v>
      </c>
      <c r="Q107" s="40">
        <v>-1</v>
      </c>
      <c r="R107" s="40">
        <v>-4.5999999999999996</v>
      </c>
      <c r="S107" s="40">
        <v>4.5</v>
      </c>
      <c r="T107" s="40">
        <v>-5.0999999999999996</v>
      </c>
      <c r="U107" s="40">
        <v>2.4</v>
      </c>
      <c r="V107" s="40">
        <v>7.6</v>
      </c>
      <c r="W107" s="40">
        <v>5.8</v>
      </c>
      <c r="X107" s="40">
        <v>-7.3</v>
      </c>
      <c r="Y107" s="40">
        <v>-7.9</v>
      </c>
      <c r="Z107" s="40">
        <v>8.1</v>
      </c>
      <c r="AA107" s="40">
        <v>-1</v>
      </c>
      <c r="AB107" s="40">
        <v>1.3</v>
      </c>
      <c r="AC107" s="40"/>
    </row>
    <row r="108" spans="1:29" x14ac:dyDescent="0.2">
      <c r="A108" s="45" t="s">
        <v>86</v>
      </c>
      <c r="B108" s="45" t="s">
        <v>253</v>
      </c>
      <c r="C108" s="45" t="s">
        <v>252</v>
      </c>
      <c r="D108" s="40">
        <v>4.5999999999999996</v>
      </c>
      <c r="E108" s="40">
        <v>4.8</v>
      </c>
      <c r="F108" s="40">
        <v>3.5</v>
      </c>
      <c r="G108" s="40">
        <v>1.8</v>
      </c>
      <c r="H108" s="40">
        <v>0.6</v>
      </c>
      <c r="I108" s="40">
        <v>0.9</v>
      </c>
      <c r="J108" s="40">
        <v>2.2999999999999998</v>
      </c>
      <c r="K108" s="40">
        <v>4.4000000000000004</v>
      </c>
      <c r="L108" s="40">
        <v>-0.6</v>
      </c>
      <c r="M108" s="40">
        <v>-1.5</v>
      </c>
      <c r="N108" s="40">
        <v>-3.9</v>
      </c>
      <c r="O108" s="40">
        <v>1.8</v>
      </c>
      <c r="P108" s="40">
        <v>1.3</v>
      </c>
      <c r="Q108" s="40">
        <v>1.6</v>
      </c>
      <c r="R108" s="40">
        <v>0.2</v>
      </c>
      <c r="S108" s="40">
        <v>1.3</v>
      </c>
      <c r="T108" s="40">
        <v>0.8</v>
      </c>
      <c r="U108" s="40">
        <v>1</v>
      </c>
      <c r="V108" s="40">
        <v>3.1</v>
      </c>
      <c r="W108" s="40">
        <v>-1.1000000000000001</v>
      </c>
      <c r="X108" s="40">
        <v>4</v>
      </c>
      <c r="Y108" s="40">
        <v>-7.3</v>
      </c>
      <c r="Z108" s="40">
        <v>5.5</v>
      </c>
      <c r="AA108" s="40">
        <v>2.4</v>
      </c>
      <c r="AB108" s="40">
        <v>-0.5</v>
      </c>
      <c r="AC108" s="40"/>
    </row>
    <row r="109" spans="1:29" x14ac:dyDescent="0.2">
      <c r="A109" s="49" t="s">
        <v>87</v>
      </c>
      <c r="B109" s="49" t="s">
        <v>251</v>
      </c>
      <c r="C109" s="49" t="s">
        <v>250</v>
      </c>
      <c r="D109" s="48">
        <v>3.4</v>
      </c>
      <c r="E109" s="48">
        <v>4.8</v>
      </c>
      <c r="F109" s="48">
        <v>1.6</v>
      </c>
      <c r="G109" s="48">
        <v>1.2</v>
      </c>
      <c r="H109" s="48">
        <v>1.7</v>
      </c>
      <c r="I109" s="48">
        <v>0.4</v>
      </c>
      <c r="J109" s="48">
        <v>2.1</v>
      </c>
      <c r="K109" s="48">
        <v>3.4</v>
      </c>
      <c r="L109" s="48">
        <v>-0.9</v>
      </c>
      <c r="M109" s="48">
        <v>-0.3</v>
      </c>
      <c r="N109" s="48">
        <v>-2.2999999999999998</v>
      </c>
      <c r="O109" s="48">
        <v>1</v>
      </c>
      <c r="P109" s="48">
        <v>0.9</v>
      </c>
      <c r="Q109" s="48">
        <v>1.9</v>
      </c>
      <c r="R109" s="48">
        <v>1.5</v>
      </c>
      <c r="S109" s="48">
        <v>1.5</v>
      </c>
      <c r="T109" s="48">
        <v>-0.8</v>
      </c>
      <c r="U109" s="48">
        <v>0.1</v>
      </c>
      <c r="V109" s="48">
        <v>2.5</v>
      </c>
      <c r="W109" s="48">
        <v>-3.3</v>
      </c>
      <c r="X109" s="48">
        <v>5.2</v>
      </c>
      <c r="Y109" s="48">
        <v>-11.1</v>
      </c>
      <c r="Z109" s="48">
        <v>7.7</v>
      </c>
      <c r="AA109" s="48">
        <v>1.5</v>
      </c>
      <c r="AB109" s="48">
        <v>-0.7</v>
      </c>
      <c r="AC109" s="40"/>
    </row>
    <row r="110" spans="1:29" x14ac:dyDescent="0.2">
      <c r="A110" s="45" t="s">
        <v>86</v>
      </c>
      <c r="B110" s="45" t="s">
        <v>249</v>
      </c>
      <c r="C110" s="45" t="s">
        <v>248</v>
      </c>
      <c r="D110" s="40">
        <v>2.9</v>
      </c>
      <c r="E110" s="40">
        <v>6.1</v>
      </c>
      <c r="F110" s="40">
        <v>1.6</v>
      </c>
      <c r="G110" s="40">
        <v>1.4</v>
      </c>
      <c r="H110" s="40">
        <v>2.2999999999999998</v>
      </c>
      <c r="I110" s="40">
        <v>1.3</v>
      </c>
      <c r="J110" s="40">
        <v>1.6</v>
      </c>
      <c r="K110" s="40">
        <v>4.5999999999999996</v>
      </c>
      <c r="L110" s="40">
        <v>1</v>
      </c>
      <c r="M110" s="40">
        <v>1</v>
      </c>
      <c r="N110" s="40">
        <v>-0.9</v>
      </c>
      <c r="O110" s="40">
        <v>0.5</v>
      </c>
      <c r="P110" s="40">
        <v>0</v>
      </c>
      <c r="Q110" s="40">
        <v>3</v>
      </c>
      <c r="R110" s="40">
        <v>2.6</v>
      </c>
      <c r="S110" s="40">
        <v>0.8</v>
      </c>
      <c r="T110" s="40">
        <v>0</v>
      </c>
      <c r="U110" s="40">
        <v>-0.3</v>
      </c>
      <c r="V110" s="40">
        <v>5.5</v>
      </c>
      <c r="W110" s="40">
        <v>-4.5999999999999996</v>
      </c>
      <c r="X110" s="40">
        <v>8.6999999999999993</v>
      </c>
      <c r="Y110" s="40">
        <v>-11.7</v>
      </c>
      <c r="Z110" s="40">
        <v>8</v>
      </c>
      <c r="AA110" s="40">
        <v>1.6</v>
      </c>
      <c r="AB110" s="40">
        <v>-0.8</v>
      </c>
      <c r="AC110" s="40"/>
    </row>
    <row r="111" spans="1:29" x14ac:dyDescent="0.2">
      <c r="A111" s="45" t="s">
        <v>86</v>
      </c>
      <c r="B111" s="45" t="s">
        <v>247</v>
      </c>
      <c r="C111" s="45" t="s">
        <v>246</v>
      </c>
      <c r="D111" s="40">
        <v>4.4000000000000004</v>
      </c>
      <c r="E111" s="40">
        <v>3.7</v>
      </c>
      <c r="F111" s="40">
        <v>1.6</v>
      </c>
      <c r="G111" s="40">
        <v>1.8</v>
      </c>
      <c r="H111" s="40">
        <v>1.7</v>
      </c>
      <c r="I111" s="40">
        <v>-1.1000000000000001</v>
      </c>
      <c r="J111" s="40">
        <v>3</v>
      </c>
      <c r="K111" s="40">
        <v>1.2</v>
      </c>
      <c r="L111" s="40">
        <v>-2.2999999999999998</v>
      </c>
      <c r="M111" s="40">
        <v>-0.6</v>
      </c>
      <c r="N111" s="40">
        <v>-2.8</v>
      </c>
      <c r="O111" s="40">
        <v>0.7</v>
      </c>
      <c r="P111" s="40">
        <v>1.5</v>
      </c>
      <c r="Q111" s="40">
        <v>1.2</v>
      </c>
      <c r="R111" s="40">
        <v>0.6</v>
      </c>
      <c r="S111" s="40">
        <v>2.2999999999999998</v>
      </c>
      <c r="T111" s="40">
        <v>-1.5</v>
      </c>
      <c r="U111" s="40">
        <v>1.1000000000000001</v>
      </c>
      <c r="V111" s="40">
        <v>-0.3</v>
      </c>
      <c r="W111" s="40">
        <v>-0.8</v>
      </c>
      <c r="X111" s="40">
        <v>1.4</v>
      </c>
      <c r="Y111" s="40">
        <v>-10.1</v>
      </c>
      <c r="Z111" s="40">
        <v>6.1</v>
      </c>
      <c r="AA111" s="40">
        <v>0.8</v>
      </c>
      <c r="AB111" s="40">
        <v>-1.7</v>
      </c>
      <c r="AC111" s="40"/>
    </row>
    <row r="112" spans="1:29" x14ac:dyDescent="0.2">
      <c r="A112" s="45" t="s">
        <v>86</v>
      </c>
      <c r="B112" s="45" t="s">
        <v>245</v>
      </c>
      <c r="C112" s="45" t="s">
        <v>244</v>
      </c>
      <c r="D112" s="40">
        <v>3.3</v>
      </c>
      <c r="E112" s="40">
        <v>4.0999999999999996</v>
      </c>
      <c r="F112" s="40">
        <v>1.6</v>
      </c>
      <c r="G112" s="40">
        <v>0.5</v>
      </c>
      <c r="H112" s="40">
        <v>0.8</v>
      </c>
      <c r="I112" s="40">
        <v>0.5</v>
      </c>
      <c r="J112" s="40">
        <v>2</v>
      </c>
      <c r="K112" s="40">
        <v>3.9</v>
      </c>
      <c r="L112" s="40">
        <v>-2.8</v>
      </c>
      <c r="M112" s="40">
        <v>-2.2000000000000002</v>
      </c>
      <c r="N112" s="40">
        <v>-4.3</v>
      </c>
      <c r="O112" s="40">
        <v>2</v>
      </c>
      <c r="P112" s="40">
        <v>1.9</v>
      </c>
      <c r="Q112" s="40">
        <v>0.6</v>
      </c>
      <c r="R112" s="40">
        <v>0.5</v>
      </c>
      <c r="S112" s="40">
        <v>2.1</v>
      </c>
      <c r="T112" s="40">
        <v>-1.4</v>
      </c>
      <c r="U112" s="40">
        <v>-0.2</v>
      </c>
      <c r="V112" s="40">
        <v>0.2</v>
      </c>
      <c r="W112" s="40">
        <v>-3.2</v>
      </c>
      <c r="X112" s="40">
        <v>2.9</v>
      </c>
      <c r="Y112" s="40">
        <v>-10.8</v>
      </c>
      <c r="Z112" s="40">
        <v>8.8000000000000007</v>
      </c>
      <c r="AA112" s="40">
        <v>1.8</v>
      </c>
      <c r="AB112" s="40">
        <v>0.2</v>
      </c>
      <c r="AC112" s="40"/>
    </row>
    <row r="113" spans="1:29" x14ac:dyDescent="0.2">
      <c r="A113" s="49" t="s">
        <v>87</v>
      </c>
      <c r="B113" s="49" t="s">
        <v>243</v>
      </c>
      <c r="C113" s="49" t="s">
        <v>242</v>
      </c>
      <c r="D113" s="48">
        <v>5.7</v>
      </c>
      <c r="E113" s="48">
        <v>5.2</v>
      </c>
      <c r="F113" s="48">
        <v>2.9</v>
      </c>
      <c r="G113" s="48">
        <v>0.9</v>
      </c>
      <c r="H113" s="48">
        <v>1.3</v>
      </c>
      <c r="I113" s="48">
        <v>0.7</v>
      </c>
      <c r="J113" s="48">
        <v>2.9</v>
      </c>
      <c r="K113" s="48">
        <v>2.2999999999999998</v>
      </c>
      <c r="L113" s="48">
        <v>0.3</v>
      </c>
      <c r="M113" s="48">
        <v>-1.7</v>
      </c>
      <c r="N113" s="48">
        <v>-5.4</v>
      </c>
      <c r="O113" s="48">
        <v>2.6</v>
      </c>
      <c r="P113" s="48">
        <v>1.3</v>
      </c>
      <c r="Q113" s="48">
        <v>1.4</v>
      </c>
      <c r="R113" s="48">
        <v>2.1</v>
      </c>
      <c r="S113" s="48">
        <v>2.2000000000000002</v>
      </c>
      <c r="T113" s="48">
        <v>1.2</v>
      </c>
      <c r="U113" s="48">
        <v>2.2999999999999998</v>
      </c>
      <c r="V113" s="48">
        <v>1.7</v>
      </c>
      <c r="W113" s="48">
        <v>0.5</v>
      </c>
      <c r="X113" s="48">
        <v>3</v>
      </c>
      <c r="Y113" s="48">
        <v>-10.3</v>
      </c>
      <c r="Z113" s="48">
        <v>6.5</v>
      </c>
      <c r="AA113" s="48">
        <v>2</v>
      </c>
      <c r="AB113" s="48">
        <v>-1.8</v>
      </c>
      <c r="AC113" s="40"/>
    </row>
    <row r="114" spans="1:29" x14ac:dyDescent="0.2">
      <c r="A114" s="45" t="s">
        <v>86</v>
      </c>
      <c r="B114" s="45" t="s">
        <v>241</v>
      </c>
      <c r="C114" s="45" t="s">
        <v>240</v>
      </c>
      <c r="D114" s="40">
        <v>3.9</v>
      </c>
      <c r="E114" s="40">
        <v>4.5999999999999996</v>
      </c>
      <c r="F114" s="40">
        <v>1.5</v>
      </c>
      <c r="G114" s="40">
        <v>1.4</v>
      </c>
      <c r="H114" s="40">
        <v>0.3</v>
      </c>
      <c r="I114" s="40">
        <v>0</v>
      </c>
      <c r="J114" s="40">
        <v>1</v>
      </c>
      <c r="K114" s="40">
        <v>2.8</v>
      </c>
      <c r="L114" s="40">
        <v>-2.2999999999999998</v>
      </c>
      <c r="M114" s="40">
        <v>-1.3</v>
      </c>
      <c r="N114" s="40">
        <v>-4</v>
      </c>
      <c r="O114" s="40">
        <v>3.1</v>
      </c>
      <c r="P114" s="40">
        <v>1.5</v>
      </c>
      <c r="Q114" s="40">
        <v>0.7</v>
      </c>
      <c r="R114" s="40">
        <v>0</v>
      </c>
      <c r="S114" s="40">
        <v>3.2</v>
      </c>
      <c r="T114" s="40">
        <v>-0.6</v>
      </c>
      <c r="U114" s="40">
        <v>0.4</v>
      </c>
      <c r="V114" s="40">
        <v>1.7</v>
      </c>
      <c r="W114" s="40">
        <v>-0.2</v>
      </c>
      <c r="X114" s="40">
        <v>2.7</v>
      </c>
      <c r="Y114" s="40">
        <v>-7.9</v>
      </c>
      <c r="Z114" s="40">
        <v>5.5</v>
      </c>
      <c r="AA114" s="40">
        <v>0.2</v>
      </c>
      <c r="AB114" s="40">
        <v>-1.1000000000000001</v>
      </c>
      <c r="AC114" s="40"/>
    </row>
    <row r="115" spans="1:29" x14ac:dyDescent="0.2">
      <c r="A115" s="45" t="s">
        <v>86</v>
      </c>
      <c r="B115" s="45" t="s">
        <v>239</v>
      </c>
      <c r="C115" s="45" t="s">
        <v>238</v>
      </c>
      <c r="D115" s="40">
        <v>5.4</v>
      </c>
      <c r="E115" s="40">
        <v>2.8</v>
      </c>
      <c r="F115" s="40">
        <v>-0.1</v>
      </c>
      <c r="G115" s="40">
        <v>-2.2000000000000002</v>
      </c>
      <c r="H115" s="40">
        <v>0.7</v>
      </c>
      <c r="I115" s="40">
        <v>-0.5</v>
      </c>
      <c r="J115" s="40">
        <v>5.7</v>
      </c>
      <c r="K115" s="40">
        <v>-2.1</v>
      </c>
      <c r="L115" s="40">
        <v>6.3</v>
      </c>
      <c r="M115" s="40">
        <v>-3.7</v>
      </c>
      <c r="N115" s="40">
        <v>-10</v>
      </c>
      <c r="O115" s="40">
        <v>0.2</v>
      </c>
      <c r="P115" s="40">
        <v>-1.7</v>
      </c>
      <c r="Q115" s="40">
        <v>0.4</v>
      </c>
      <c r="R115" s="40">
        <v>2.7</v>
      </c>
      <c r="S115" s="40">
        <v>3.2</v>
      </c>
      <c r="T115" s="40">
        <v>3.8</v>
      </c>
      <c r="U115" s="40">
        <v>4</v>
      </c>
      <c r="V115" s="40">
        <v>-0.3</v>
      </c>
      <c r="W115" s="40">
        <v>0.3</v>
      </c>
      <c r="X115" s="40">
        <v>1</v>
      </c>
      <c r="Y115" s="40">
        <v>-9</v>
      </c>
      <c r="Z115" s="40">
        <v>4.0999999999999996</v>
      </c>
      <c r="AA115" s="40">
        <v>1.5</v>
      </c>
      <c r="AB115" s="40">
        <v>4.5</v>
      </c>
      <c r="AC115" s="40"/>
    </row>
    <row r="116" spans="1:29" x14ac:dyDescent="0.2">
      <c r="A116" s="45" t="s">
        <v>86</v>
      </c>
      <c r="B116" s="45" t="s">
        <v>237</v>
      </c>
      <c r="C116" s="45" t="s">
        <v>236</v>
      </c>
      <c r="D116" s="40">
        <v>7.8</v>
      </c>
      <c r="E116" s="40">
        <v>8</v>
      </c>
      <c r="F116" s="40">
        <v>3.2</v>
      </c>
      <c r="G116" s="40">
        <v>2.9</v>
      </c>
      <c r="H116" s="40">
        <v>3.9</v>
      </c>
      <c r="I116" s="40">
        <v>2.1</v>
      </c>
      <c r="J116" s="40">
        <v>4</v>
      </c>
      <c r="K116" s="40">
        <v>3.5</v>
      </c>
      <c r="L116" s="40">
        <v>-1.3</v>
      </c>
      <c r="M116" s="40">
        <v>-1.5</v>
      </c>
      <c r="N116" s="40">
        <v>-3.9</v>
      </c>
      <c r="O116" s="40">
        <v>4.8</v>
      </c>
      <c r="P116" s="40">
        <v>4.5999999999999996</v>
      </c>
      <c r="Q116" s="40">
        <v>2.7</v>
      </c>
      <c r="R116" s="40">
        <v>2.9</v>
      </c>
      <c r="S116" s="40">
        <v>3</v>
      </c>
      <c r="T116" s="40">
        <v>-0.6</v>
      </c>
      <c r="U116" s="40">
        <v>1.4</v>
      </c>
      <c r="V116" s="40">
        <v>4.3</v>
      </c>
      <c r="W116" s="40">
        <v>2.5</v>
      </c>
      <c r="X116" s="40">
        <v>6.3</v>
      </c>
      <c r="Y116" s="40">
        <v>-8.9</v>
      </c>
      <c r="Z116" s="40">
        <v>9.5</v>
      </c>
      <c r="AA116" s="40">
        <v>5.6</v>
      </c>
      <c r="AB116" s="40">
        <v>-3.3</v>
      </c>
      <c r="AC116" s="40"/>
    </row>
    <row r="117" spans="1:29" x14ac:dyDescent="0.2">
      <c r="A117" s="45" t="s">
        <v>86</v>
      </c>
      <c r="B117" s="45" t="s">
        <v>235</v>
      </c>
      <c r="C117" s="45" t="s">
        <v>234</v>
      </c>
      <c r="D117" s="40">
        <v>5.2</v>
      </c>
      <c r="E117" s="40">
        <v>4.8</v>
      </c>
      <c r="F117" s="40">
        <v>6.9</v>
      </c>
      <c r="G117" s="40">
        <v>0.5</v>
      </c>
      <c r="H117" s="40">
        <v>-0.3</v>
      </c>
      <c r="I117" s="40">
        <v>0.7</v>
      </c>
      <c r="J117" s="40">
        <v>0.8</v>
      </c>
      <c r="K117" s="40">
        <v>4.7</v>
      </c>
      <c r="L117" s="40">
        <v>-1.5</v>
      </c>
      <c r="M117" s="40">
        <v>-0.9</v>
      </c>
      <c r="N117" s="40">
        <v>-4.4000000000000004</v>
      </c>
      <c r="O117" s="40">
        <v>1.5</v>
      </c>
      <c r="P117" s="40">
        <v>-0.2</v>
      </c>
      <c r="Q117" s="40">
        <v>1.4</v>
      </c>
      <c r="R117" s="40">
        <v>2.4</v>
      </c>
      <c r="S117" s="40">
        <v>-0.3</v>
      </c>
      <c r="T117" s="40">
        <v>2</v>
      </c>
      <c r="U117" s="40">
        <v>3.2</v>
      </c>
      <c r="V117" s="40">
        <v>0.8</v>
      </c>
      <c r="W117" s="40">
        <v>-0.5</v>
      </c>
      <c r="X117" s="40">
        <v>2</v>
      </c>
      <c r="Y117" s="40">
        <v>-14</v>
      </c>
      <c r="Z117" s="40">
        <v>6.3</v>
      </c>
      <c r="AA117" s="40">
        <v>0.5</v>
      </c>
      <c r="AB117" s="40">
        <v>-5.5</v>
      </c>
      <c r="AC117" s="40"/>
    </row>
    <row r="118" spans="1:29" x14ac:dyDescent="0.2">
      <c r="A118" s="51" t="s">
        <v>88</v>
      </c>
      <c r="B118" s="51" t="s">
        <v>233</v>
      </c>
      <c r="C118" s="51" t="s">
        <v>232</v>
      </c>
      <c r="D118" s="50">
        <v>2.9</v>
      </c>
      <c r="E118" s="50">
        <v>6.5</v>
      </c>
      <c r="F118" s="50">
        <v>-0.4</v>
      </c>
      <c r="G118" s="50">
        <v>0.7</v>
      </c>
      <c r="H118" s="50">
        <v>3.8</v>
      </c>
      <c r="I118" s="50">
        <v>2.2000000000000002</v>
      </c>
      <c r="J118" s="50">
        <v>4.2</v>
      </c>
      <c r="K118" s="50">
        <v>2.7</v>
      </c>
      <c r="L118" s="50">
        <v>5.9</v>
      </c>
      <c r="M118" s="50">
        <v>-1.9</v>
      </c>
      <c r="N118" s="50">
        <v>-7.8</v>
      </c>
      <c r="O118" s="50">
        <v>2.7</v>
      </c>
      <c r="P118" s="50">
        <v>2</v>
      </c>
      <c r="Q118" s="50">
        <v>1.4</v>
      </c>
      <c r="R118" s="50">
        <v>1.8</v>
      </c>
      <c r="S118" s="50">
        <v>3</v>
      </c>
      <c r="T118" s="50">
        <v>0</v>
      </c>
      <c r="U118" s="50">
        <v>2.9</v>
      </c>
      <c r="V118" s="50">
        <v>1.5</v>
      </c>
      <c r="W118" s="50">
        <v>1.2</v>
      </c>
      <c r="X118" s="50">
        <v>0.5</v>
      </c>
      <c r="Y118" s="50">
        <v>-12.9</v>
      </c>
      <c r="Z118" s="50">
        <v>9.1</v>
      </c>
      <c r="AA118" s="50">
        <v>7.1</v>
      </c>
      <c r="AB118" s="50">
        <v>-1.4</v>
      </c>
      <c r="AC118" s="43"/>
    </row>
    <row r="119" spans="1:29" x14ac:dyDescent="0.2">
      <c r="A119" s="49" t="s">
        <v>87</v>
      </c>
      <c r="B119" s="49" t="s">
        <v>231</v>
      </c>
      <c r="C119" s="49" t="s">
        <v>230</v>
      </c>
      <c r="D119" s="48">
        <v>1.1000000000000001</v>
      </c>
      <c r="E119" s="48">
        <v>6.9</v>
      </c>
      <c r="F119" s="48">
        <v>-2.5</v>
      </c>
      <c r="G119" s="48">
        <v>0.3</v>
      </c>
      <c r="H119" s="48">
        <v>3.4</v>
      </c>
      <c r="I119" s="48">
        <v>2</v>
      </c>
      <c r="J119" s="48">
        <v>5.7</v>
      </c>
      <c r="K119" s="48">
        <v>2.9</v>
      </c>
      <c r="L119" s="48">
        <v>9.9</v>
      </c>
      <c r="M119" s="48">
        <v>0.6</v>
      </c>
      <c r="N119" s="48">
        <v>-6.5</v>
      </c>
      <c r="O119" s="48">
        <v>3.3</v>
      </c>
      <c r="P119" s="48">
        <v>1.4</v>
      </c>
      <c r="Q119" s="48">
        <v>2.7</v>
      </c>
      <c r="R119" s="48">
        <v>3.5</v>
      </c>
      <c r="S119" s="48">
        <v>4.7</v>
      </c>
      <c r="T119" s="48">
        <v>1.3</v>
      </c>
      <c r="U119" s="48">
        <v>6.6</v>
      </c>
      <c r="V119" s="48">
        <v>2.9</v>
      </c>
      <c r="W119" s="48">
        <v>3</v>
      </c>
      <c r="X119" s="48">
        <v>1.9</v>
      </c>
      <c r="Y119" s="48">
        <v>-8.8000000000000007</v>
      </c>
      <c r="Z119" s="48">
        <v>11</v>
      </c>
      <c r="AA119" s="48">
        <v>4.2</v>
      </c>
      <c r="AB119" s="48">
        <v>-0.8</v>
      </c>
      <c r="AC119" s="40"/>
    </row>
    <row r="120" spans="1:29" x14ac:dyDescent="0.2">
      <c r="A120" s="45" t="s">
        <v>86</v>
      </c>
      <c r="B120" s="45" t="s">
        <v>229</v>
      </c>
      <c r="C120" s="45" t="s">
        <v>228</v>
      </c>
      <c r="D120" s="40">
        <v>2.7</v>
      </c>
      <c r="E120" s="40">
        <v>1.9</v>
      </c>
      <c r="F120" s="40">
        <v>-1.5</v>
      </c>
      <c r="G120" s="40">
        <v>-0.8</v>
      </c>
      <c r="H120" s="40">
        <v>3</v>
      </c>
      <c r="I120" s="40">
        <v>4.5999999999999996</v>
      </c>
      <c r="J120" s="40">
        <v>2.6</v>
      </c>
      <c r="K120" s="40">
        <v>1.9</v>
      </c>
      <c r="L120" s="40">
        <v>6.6</v>
      </c>
      <c r="M120" s="40">
        <v>2</v>
      </c>
      <c r="N120" s="40">
        <v>-5.8</v>
      </c>
      <c r="O120" s="40">
        <v>3.8</v>
      </c>
      <c r="P120" s="40">
        <v>5.2</v>
      </c>
      <c r="Q120" s="40">
        <v>8.4</v>
      </c>
      <c r="R120" s="40">
        <v>7.4</v>
      </c>
      <c r="S120" s="40">
        <v>5.2</v>
      </c>
      <c r="T120" s="40">
        <v>1.5</v>
      </c>
      <c r="U120" s="40">
        <v>-0.2</v>
      </c>
      <c r="V120" s="40">
        <v>2</v>
      </c>
      <c r="W120" s="40">
        <v>5</v>
      </c>
      <c r="X120" s="40">
        <v>0</v>
      </c>
      <c r="Y120" s="40">
        <v>-15.3</v>
      </c>
      <c r="Z120" s="40">
        <v>9</v>
      </c>
      <c r="AA120" s="40">
        <v>6</v>
      </c>
      <c r="AB120" s="40">
        <v>0.4</v>
      </c>
      <c r="AC120" s="40"/>
    </row>
    <row r="121" spans="1:29" x14ac:dyDescent="0.2">
      <c r="A121" s="45" t="s">
        <v>86</v>
      </c>
      <c r="B121" s="45" t="s">
        <v>227</v>
      </c>
      <c r="C121" s="45" t="s">
        <v>226</v>
      </c>
      <c r="D121" s="40">
        <v>4.5999999999999996</v>
      </c>
      <c r="E121" s="40">
        <v>2.2999999999999998</v>
      </c>
      <c r="F121" s="40">
        <v>1.4</v>
      </c>
      <c r="G121" s="40">
        <v>0.3</v>
      </c>
      <c r="H121" s="40">
        <v>1.3</v>
      </c>
      <c r="I121" s="40">
        <v>1.2</v>
      </c>
      <c r="J121" s="40">
        <v>1.6</v>
      </c>
      <c r="K121" s="40">
        <v>0.7</v>
      </c>
      <c r="L121" s="40">
        <v>3.2</v>
      </c>
      <c r="M121" s="40">
        <v>-3.1</v>
      </c>
      <c r="N121" s="40">
        <v>-6.2</v>
      </c>
      <c r="O121" s="40">
        <v>2.6</v>
      </c>
      <c r="P121" s="40">
        <v>2.5</v>
      </c>
      <c r="Q121" s="40">
        <v>4.2</v>
      </c>
      <c r="R121" s="40">
        <v>2.6</v>
      </c>
      <c r="S121" s="40">
        <v>3.4</v>
      </c>
      <c r="T121" s="40">
        <v>3.1</v>
      </c>
      <c r="U121" s="40">
        <v>-1.7</v>
      </c>
      <c r="V121" s="40">
        <v>-3.1</v>
      </c>
      <c r="W121" s="40">
        <v>-0.8</v>
      </c>
      <c r="X121" s="40">
        <v>-2.6</v>
      </c>
      <c r="Y121" s="40">
        <v>-21.8</v>
      </c>
      <c r="Z121" s="40">
        <v>15.7</v>
      </c>
      <c r="AA121" s="40">
        <v>6</v>
      </c>
      <c r="AB121" s="40">
        <v>0.3</v>
      </c>
      <c r="AC121" s="40"/>
    </row>
    <row r="122" spans="1:29" x14ac:dyDescent="0.2">
      <c r="A122" s="45" t="s">
        <v>86</v>
      </c>
      <c r="B122" s="45" t="s">
        <v>225</v>
      </c>
      <c r="C122" s="45" t="s">
        <v>224</v>
      </c>
      <c r="D122" s="40">
        <v>0.1</v>
      </c>
      <c r="E122" s="40">
        <v>7.7</v>
      </c>
      <c r="F122" s="40">
        <v>-3.9</v>
      </c>
      <c r="G122" s="40">
        <v>-0.2</v>
      </c>
      <c r="H122" s="40">
        <v>2.5</v>
      </c>
      <c r="I122" s="40">
        <v>0.6</v>
      </c>
      <c r="J122" s="40">
        <v>5</v>
      </c>
      <c r="K122" s="40">
        <v>4</v>
      </c>
      <c r="L122" s="40">
        <v>12.4</v>
      </c>
      <c r="M122" s="40">
        <v>1.2</v>
      </c>
      <c r="N122" s="40">
        <v>-6</v>
      </c>
      <c r="O122" s="40">
        <v>3.7</v>
      </c>
      <c r="P122" s="40">
        <v>0.2</v>
      </c>
      <c r="Q122" s="40">
        <v>2</v>
      </c>
      <c r="R122" s="40">
        <v>4.4000000000000004</v>
      </c>
      <c r="S122" s="40">
        <v>4.8</v>
      </c>
      <c r="T122" s="40">
        <v>-1.6</v>
      </c>
      <c r="U122" s="40">
        <v>8.8000000000000007</v>
      </c>
      <c r="V122" s="40">
        <v>4.3</v>
      </c>
      <c r="W122" s="40">
        <v>3.7</v>
      </c>
      <c r="X122" s="40">
        <v>3.5</v>
      </c>
      <c r="Y122" s="40">
        <v>-3.3</v>
      </c>
      <c r="Z122" s="40">
        <v>8.6</v>
      </c>
      <c r="AA122" s="40">
        <v>1.5</v>
      </c>
      <c r="AB122" s="40">
        <v>-1</v>
      </c>
      <c r="AC122" s="40"/>
    </row>
    <row r="123" spans="1:29" x14ac:dyDescent="0.2">
      <c r="A123" s="45" t="s">
        <v>86</v>
      </c>
      <c r="B123" s="45" t="s">
        <v>223</v>
      </c>
      <c r="C123" s="45" t="s">
        <v>222</v>
      </c>
      <c r="D123" s="40">
        <v>3</v>
      </c>
      <c r="E123" s="40">
        <v>3.8</v>
      </c>
      <c r="F123" s="40">
        <v>-0.2</v>
      </c>
      <c r="G123" s="40">
        <v>-1.2</v>
      </c>
      <c r="H123" s="40">
        <v>5</v>
      </c>
      <c r="I123" s="40">
        <v>4</v>
      </c>
      <c r="J123" s="40">
        <v>3.3</v>
      </c>
      <c r="K123" s="40">
        <v>1.4</v>
      </c>
      <c r="L123" s="40">
        <v>6.1</v>
      </c>
      <c r="M123" s="40">
        <v>-0.1</v>
      </c>
      <c r="N123" s="40">
        <v>-5.0999999999999996</v>
      </c>
      <c r="O123" s="40">
        <v>1.3</v>
      </c>
      <c r="P123" s="40">
        <v>1.4</v>
      </c>
      <c r="Q123" s="40">
        <v>2.1</v>
      </c>
      <c r="R123" s="40">
        <v>5.6</v>
      </c>
      <c r="S123" s="40">
        <v>8.1999999999999993</v>
      </c>
      <c r="T123" s="40">
        <v>13.8</v>
      </c>
      <c r="U123" s="40">
        <v>9.6999999999999993</v>
      </c>
      <c r="V123" s="40">
        <v>2.9</v>
      </c>
      <c r="W123" s="40">
        <v>2</v>
      </c>
      <c r="X123" s="40">
        <v>-0.8</v>
      </c>
      <c r="Y123" s="40">
        <v>-21.7</v>
      </c>
      <c r="Z123" s="40">
        <v>16.7</v>
      </c>
      <c r="AA123" s="40">
        <v>7.5</v>
      </c>
      <c r="AB123" s="40">
        <v>-4.0999999999999996</v>
      </c>
      <c r="AC123" s="40"/>
    </row>
    <row r="124" spans="1:29" x14ac:dyDescent="0.2">
      <c r="A124" s="49" t="s">
        <v>87</v>
      </c>
      <c r="B124" s="49" t="s">
        <v>221</v>
      </c>
      <c r="C124" s="49" t="s">
        <v>220</v>
      </c>
      <c r="D124" s="48">
        <v>2.8</v>
      </c>
      <c r="E124" s="48">
        <v>8.6999999999999993</v>
      </c>
      <c r="F124" s="48">
        <v>1.8</v>
      </c>
      <c r="G124" s="48">
        <v>1.2</v>
      </c>
      <c r="H124" s="48">
        <v>4.2</v>
      </c>
      <c r="I124" s="48">
        <v>3.1</v>
      </c>
      <c r="J124" s="48">
        <v>5.3</v>
      </c>
      <c r="K124" s="48">
        <v>1.9</v>
      </c>
      <c r="L124" s="48">
        <v>6.5</v>
      </c>
      <c r="M124" s="48">
        <v>-0.1</v>
      </c>
      <c r="N124" s="48">
        <v>-6.9</v>
      </c>
      <c r="O124" s="48">
        <v>2</v>
      </c>
      <c r="P124" s="48">
        <v>5.3</v>
      </c>
      <c r="Q124" s="48">
        <v>0.3</v>
      </c>
      <c r="R124" s="48">
        <v>0.1</v>
      </c>
      <c r="S124" s="48">
        <v>2.1</v>
      </c>
      <c r="T124" s="48">
        <v>0.4</v>
      </c>
      <c r="U124" s="48">
        <v>1.7</v>
      </c>
      <c r="V124" s="48">
        <v>2.2999999999999998</v>
      </c>
      <c r="W124" s="48">
        <v>0.3</v>
      </c>
      <c r="X124" s="48">
        <v>0.4</v>
      </c>
      <c r="Y124" s="48">
        <v>-12.3</v>
      </c>
      <c r="Z124" s="48">
        <v>7.8</v>
      </c>
      <c r="AA124" s="48">
        <v>7.9</v>
      </c>
      <c r="AB124" s="48">
        <v>0.3</v>
      </c>
      <c r="AC124" s="40"/>
    </row>
    <row r="125" spans="1:29" x14ac:dyDescent="0.2">
      <c r="A125" s="45" t="s">
        <v>86</v>
      </c>
      <c r="B125" s="45" t="s">
        <v>219</v>
      </c>
      <c r="C125" s="45" t="s">
        <v>218</v>
      </c>
      <c r="D125" s="40">
        <v>1.6</v>
      </c>
      <c r="E125" s="40">
        <v>3.9</v>
      </c>
      <c r="F125" s="40">
        <v>0.4</v>
      </c>
      <c r="G125" s="40">
        <v>-1.2</v>
      </c>
      <c r="H125" s="40">
        <v>2.9</v>
      </c>
      <c r="I125" s="40">
        <v>2.1</v>
      </c>
      <c r="J125" s="40">
        <v>2.6</v>
      </c>
      <c r="K125" s="40">
        <v>0.1</v>
      </c>
      <c r="L125" s="40">
        <v>0.8</v>
      </c>
      <c r="M125" s="40">
        <v>-3.2</v>
      </c>
      <c r="N125" s="40">
        <v>-6.9</v>
      </c>
      <c r="O125" s="40">
        <v>2.7</v>
      </c>
      <c r="P125" s="40">
        <v>2.9</v>
      </c>
      <c r="Q125" s="40">
        <v>1.3</v>
      </c>
      <c r="R125" s="40">
        <v>0.7</v>
      </c>
      <c r="S125" s="40">
        <v>3.5</v>
      </c>
      <c r="T125" s="40">
        <v>0.9</v>
      </c>
      <c r="U125" s="40">
        <v>1.4</v>
      </c>
      <c r="V125" s="40">
        <v>4.8</v>
      </c>
      <c r="W125" s="40">
        <v>4.4000000000000004</v>
      </c>
      <c r="X125" s="40">
        <v>7.6</v>
      </c>
      <c r="Y125" s="40">
        <v>-8.6999999999999993</v>
      </c>
      <c r="Z125" s="40">
        <v>12.1</v>
      </c>
      <c r="AA125" s="40">
        <v>8.1</v>
      </c>
      <c r="AB125" s="40">
        <v>1.2</v>
      </c>
      <c r="AC125" s="40"/>
    </row>
    <row r="126" spans="1:29" x14ac:dyDescent="0.2">
      <c r="A126" s="45" t="s">
        <v>86</v>
      </c>
      <c r="B126" s="45" t="s">
        <v>217</v>
      </c>
      <c r="C126" s="45" t="s">
        <v>216</v>
      </c>
      <c r="D126" s="40">
        <v>-0.9</v>
      </c>
      <c r="E126" s="40">
        <v>10.8</v>
      </c>
      <c r="F126" s="40">
        <v>1.3</v>
      </c>
      <c r="G126" s="40">
        <v>1.9</v>
      </c>
      <c r="H126" s="40">
        <v>3.4</v>
      </c>
      <c r="I126" s="40">
        <v>2.5</v>
      </c>
      <c r="J126" s="40">
        <v>7.9</v>
      </c>
      <c r="K126" s="40">
        <v>4.2</v>
      </c>
      <c r="L126" s="40">
        <v>9</v>
      </c>
      <c r="M126" s="40">
        <v>0.4</v>
      </c>
      <c r="N126" s="40">
        <v>-10.5</v>
      </c>
      <c r="O126" s="40">
        <v>-4.7</v>
      </c>
      <c r="P126" s="40">
        <v>4.5999999999999996</v>
      </c>
      <c r="Q126" s="40">
        <v>-2.9</v>
      </c>
      <c r="R126" s="40">
        <v>-1.4</v>
      </c>
      <c r="S126" s="40">
        <v>-0.4</v>
      </c>
      <c r="T126" s="40">
        <v>-3.3</v>
      </c>
      <c r="U126" s="40">
        <v>3</v>
      </c>
      <c r="V126" s="40">
        <v>3.7</v>
      </c>
      <c r="W126" s="40">
        <v>-6.5</v>
      </c>
      <c r="X126" s="40">
        <v>-4.7</v>
      </c>
      <c r="Y126" s="40">
        <v>-11.1</v>
      </c>
      <c r="Z126" s="40">
        <v>-1.5</v>
      </c>
      <c r="AA126" s="40">
        <v>0.4</v>
      </c>
      <c r="AB126" s="40">
        <v>3.1</v>
      </c>
      <c r="AC126" s="40"/>
    </row>
    <row r="127" spans="1:29" x14ac:dyDescent="0.2">
      <c r="A127" s="45" t="s">
        <v>86</v>
      </c>
      <c r="B127" s="45" t="s">
        <v>215</v>
      </c>
      <c r="C127" s="45" t="s">
        <v>214</v>
      </c>
      <c r="D127" s="40">
        <v>7.4</v>
      </c>
      <c r="E127" s="40">
        <v>12.1</v>
      </c>
      <c r="F127" s="40">
        <v>3.2</v>
      </c>
      <c r="G127" s="40">
        <v>2</v>
      </c>
      <c r="H127" s="40">
        <v>5.3</v>
      </c>
      <c r="I127" s="40">
        <v>4.5999999999999996</v>
      </c>
      <c r="J127" s="40">
        <v>3.7</v>
      </c>
      <c r="K127" s="40">
        <v>2.2999999999999998</v>
      </c>
      <c r="L127" s="40">
        <v>6.4</v>
      </c>
      <c r="M127" s="40">
        <v>-0.5</v>
      </c>
      <c r="N127" s="40">
        <v>-5.0999999999999996</v>
      </c>
      <c r="O127" s="40">
        <v>4.2</v>
      </c>
      <c r="P127" s="40">
        <v>4.2</v>
      </c>
      <c r="Q127" s="40">
        <v>1.9</v>
      </c>
      <c r="R127" s="40">
        <v>3.9</v>
      </c>
      <c r="S127" s="40">
        <v>5.3</v>
      </c>
      <c r="T127" s="40">
        <v>2.7</v>
      </c>
      <c r="U127" s="40">
        <v>-0.3</v>
      </c>
      <c r="V127" s="40">
        <v>1</v>
      </c>
      <c r="W127" s="40">
        <v>4.5</v>
      </c>
      <c r="X127" s="40">
        <v>1.5</v>
      </c>
      <c r="Y127" s="40">
        <v>-11.2</v>
      </c>
      <c r="Z127" s="40">
        <v>11.3</v>
      </c>
      <c r="AA127" s="40">
        <v>14.7</v>
      </c>
      <c r="AB127" s="40">
        <v>-2.7</v>
      </c>
      <c r="AC127" s="40"/>
    </row>
    <row r="128" spans="1:29" x14ac:dyDescent="0.2">
      <c r="A128" s="45" t="s">
        <v>86</v>
      </c>
      <c r="B128" s="45" t="s">
        <v>213</v>
      </c>
      <c r="C128" s="45" t="s">
        <v>212</v>
      </c>
      <c r="D128" s="40">
        <v>3.3</v>
      </c>
      <c r="E128" s="40">
        <v>6.7</v>
      </c>
      <c r="F128" s="40">
        <v>1.3</v>
      </c>
      <c r="G128" s="40">
        <v>0.4</v>
      </c>
      <c r="H128" s="40">
        <v>4</v>
      </c>
      <c r="I128" s="40">
        <v>2.5</v>
      </c>
      <c r="J128" s="40">
        <v>3.1</v>
      </c>
      <c r="K128" s="40">
        <v>0.2</v>
      </c>
      <c r="L128" s="40">
        <v>4.9000000000000004</v>
      </c>
      <c r="M128" s="40">
        <v>-0.9</v>
      </c>
      <c r="N128" s="40">
        <v>-5.2</v>
      </c>
      <c r="O128" s="40">
        <v>4.7</v>
      </c>
      <c r="P128" s="40">
        <v>6.6</v>
      </c>
      <c r="Q128" s="40">
        <v>1.8</v>
      </c>
      <c r="R128" s="40">
        <v>0</v>
      </c>
      <c r="S128" s="40">
        <v>-3.4</v>
      </c>
      <c r="T128" s="40">
        <v>3</v>
      </c>
      <c r="U128" s="40">
        <v>1.6</v>
      </c>
      <c r="V128" s="40">
        <v>0.4</v>
      </c>
      <c r="W128" s="40">
        <v>4.7</v>
      </c>
      <c r="X128" s="40">
        <v>3.1</v>
      </c>
      <c r="Y128" s="40">
        <v>-13.1</v>
      </c>
      <c r="Z128" s="40">
        <v>6.6</v>
      </c>
      <c r="AA128" s="40">
        <v>6.6</v>
      </c>
      <c r="AB128" s="40">
        <v>2</v>
      </c>
      <c r="AC128" s="40"/>
    </row>
    <row r="129" spans="1:29" x14ac:dyDescent="0.2">
      <c r="A129" s="45" t="s">
        <v>86</v>
      </c>
      <c r="B129" s="45" t="s">
        <v>211</v>
      </c>
      <c r="C129" s="45" t="s">
        <v>210</v>
      </c>
      <c r="D129" s="40">
        <v>4.0999999999999996</v>
      </c>
      <c r="E129" s="40">
        <v>6.5</v>
      </c>
      <c r="F129" s="40">
        <v>1.4</v>
      </c>
      <c r="G129" s="40">
        <v>-1.7</v>
      </c>
      <c r="H129" s="40">
        <v>3.7</v>
      </c>
      <c r="I129" s="40">
        <v>3.4</v>
      </c>
      <c r="J129" s="40">
        <v>6.1</v>
      </c>
      <c r="K129" s="40">
        <v>-0.1</v>
      </c>
      <c r="L129" s="40">
        <v>5.0999999999999996</v>
      </c>
      <c r="M129" s="40">
        <v>1</v>
      </c>
      <c r="N129" s="40">
        <v>-6.8</v>
      </c>
      <c r="O129" s="40">
        <v>8</v>
      </c>
      <c r="P129" s="40">
        <v>4.9000000000000004</v>
      </c>
      <c r="Q129" s="40">
        <v>-1.4</v>
      </c>
      <c r="R129" s="40">
        <v>-6.9</v>
      </c>
      <c r="S129" s="40">
        <v>10.1</v>
      </c>
      <c r="T129" s="40">
        <v>0.2</v>
      </c>
      <c r="U129" s="40">
        <v>1.4</v>
      </c>
      <c r="V129" s="40">
        <v>-0.6</v>
      </c>
      <c r="W129" s="40">
        <v>-0.8</v>
      </c>
      <c r="X129" s="40">
        <v>-3.1</v>
      </c>
      <c r="Y129" s="40">
        <v>-20.5</v>
      </c>
      <c r="Z129" s="40">
        <v>19.5</v>
      </c>
      <c r="AA129" s="40">
        <v>13</v>
      </c>
      <c r="AB129" s="40">
        <v>-5.2</v>
      </c>
      <c r="AC129" s="40"/>
    </row>
    <row r="130" spans="1:29" x14ac:dyDescent="0.2">
      <c r="A130" s="49" t="s">
        <v>87</v>
      </c>
      <c r="B130" s="49" t="s">
        <v>209</v>
      </c>
      <c r="C130" s="49" t="s">
        <v>208</v>
      </c>
      <c r="D130" s="48">
        <v>3.1</v>
      </c>
      <c r="E130" s="48">
        <v>1.9</v>
      </c>
      <c r="F130" s="48">
        <v>0.8</v>
      </c>
      <c r="G130" s="48">
        <v>0.3</v>
      </c>
      <c r="H130" s="48">
        <v>3.4</v>
      </c>
      <c r="I130" s="48">
        <v>1.7</v>
      </c>
      <c r="J130" s="48">
        <v>0.8</v>
      </c>
      <c r="K130" s="48">
        <v>3</v>
      </c>
      <c r="L130" s="48">
        <v>0.5</v>
      </c>
      <c r="M130" s="48">
        <v>-4.9000000000000004</v>
      </c>
      <c r="N130" s="48">
        <v>-10.1</v>
      </c>
      <c r="O130" s="48">
        <v>5</v>
      </c>
      <c r="P130" s="48">
        <v>0.6</v>
      </c>
      <c r="Q130" s="48">
        <v>2.2000000000000002</v>
      </c>
      <c r="R130" s="48">
        <v>1.8</v>
      </c>
      <c r="S130" s="48">
        <v>0.4</v>
      </c>
      <c r="T130" s="48">
        <v>-0.2</v>
      </c>
      <c r="U130" s="48">
        <v>-0.6</v>
      </c>
      <c r="V130" s="48">
        <v>-0.9</v>
      </c>
      <c r="W130" s="48">
        <v>0.2</v>
      </c>
      <c r="X130" s="48">
        <v>-0.3</v>
      </c>
      <c r="Y130" s="48">
        <v>-15.9</v>
      </c>
      <c r="Z130" s="48">
        <v>13.2</v>
      </c>
      <c r="AA130" s="48">
        <v>5.5</v>
      </c>
      <c r="AB130" s="48">
        <v>-4.4000000000000004</v>
      </c>
      <c r="AC130" s="40"/>
    </row>
    <row r="131" spans="1:29" x14ac:dyDescent="0.2">
      <c r="A131" s="45" t="s">
        <v>86</v>
      </c>
      <c r="B131" s="45" t="s">
        <v>207</v>
      </c>
      <c r="C131" s="45" t="s">
        <v>206</v>
      </c>
      <c r="D131" s="40">
        <v>4.7</v>
      </c>
      <c r="E131" s="40">
        <v>2.6</v>
      </c>
      <c r="F131" s="40">
        <v>1.3</v>
      </c>
      <c r="G131" s="40">
        <v>0.6</v>
      </c>
      <c r="H131" s="40">
        <v>2.8</v>
      </c>
      <c r="I131" s="40">
        <v>0.9</v>
      </c>
      <c r="J131" s="40">
        <v>0.7</v>
      </c>
      <c r="K131" s="40">
        <v>2.5</v>
      </c>
      <c r="L131" s="40">
        <v>-0.2</v>
      </c>
      <c r="M131" s="40">
        <v>-3.7</v>
      </c>
      <c r="N131" s="40">
        <v>-8.6</v>
      </c>
      <c r="O131" s="40">
        <v>4.5</v>
      </c>
      <c r="P131" s="40">
        <v>-0.1</v>
      </c>
      <c r="Q131" s="40">
        <v>0.8</v>
      </c>
      <c r="R131" s="40">
        <v>4.3</v>
      </c>
      <c r="S131" s="40">
        <v>-0.7</v>
      </c>
      <c r="T131" s="40">
        <v>-0.2</v>
      </c>
      <c r="U131" s="40">
        <v>2.1</v>
      </c>
      <c r="V131" s="40">
        <v>-1</v>
      </c>
      <c r="W131" s="40">
        <v>-0.8</v>
      </c>
      <c r="X131" s="40">
        <v>1.2</v>
      </c>
      <c r="Y131" s="40">
        <v>-16.100000000000001</v>
      </c>
      <c r="Z131" s="40">
        <v>9.1</v>
      </c>
      <c r="AA131" s="40">
        <v>4</v>
      </c>
      <c r="AB131" s="40">
        <v>-4.9000000000000004</v>
      </c>
      <c r="AC131" s="40"/>
    </row>
    <row r="132" spans="1:29" x14ac:dyDescent="0.2">
      <c r="A132" s="45" t="s">
        <v>86</v>
      </c>
      <c r="B132" s="45" t="s">
        <v>205</v>
      </c>
      <c r="C132" s="45" t="s">
        <v>204</v>
      </c>
      <c r="D132" s="40">
        <v>0.8</v>
      </c>
      <c r="E132" s="40">
        <v>0.6</v>
      </c>
      <c r="F132" s="40">
        <v>0.2</v>
      </c>
      <c r="G132" s="40">
        <v>-1.5</v>
      </c>
      <c r="H132" s="40">
        <v>2.5</v>
      </c>
      <c r="I132" s="40">
        <v>1.5</v>
      </c>
      <c r="J132" s="40">
        <v>0.4</v>
      </c>
      <c r="K132" s="40">
        <v>3.7</v>
      </c>
      <c r="L132" s="40">
        <v>2.2999999999999998</v>
      </c>
      <c r="M132" s="40">
        <v>-4.3</v>
      </c>
      <c r="N132" s="40">
        <v>-11.9</v>
      </c>
      <c r="O132" s="40">
        <v>5.2</v>
      </c>
      <c r="P132" s="40">
        <v>0.6</v>
      </c>
      <c r="Q132" s="40">
        <v>2.2000000000000002</v>
      </c>
      <c r="R132" s="40">
        <v>0.9</v>
      </c>
      <c r="S132" s="40">
        <v>0.8</v>
      </c>
      <c r="T132" s="40">
        <v>-2.9</v>
      </c>
      <c r="U132" s="40">
        <v>-3.9</v>
      </c>
      <c r="V132" s="40">
        <v>-1.6</v>
      </c>
      <c r="W132" s="40">
        <v>-0.1</v>
      </c>
      <c r="X132" s="40">
        <v>-1.3</v>
      </c>
      <c r="Y132" s="40">
        <v>-15.7</v>
      </c>
      <c r="Z132" s="40">
        <v>16.600000000000001</v>
      </c>
      <c r="AA132" s="40">
        <v>7.1</v>
      </c>
      <c r="AB132" s="40">
        <v>-4.7</v>
      </c>
      <c r="AC132" s="40"/>
    </row>
    <row r="133" spans="1:29" x14ac:dyDescent="0.2">
      <c r="A133" s="45" t="s">
        <v>86</v>
      </c>
      <c r="B133" s="45" t="s">
        <v>203</v>
      </c>
      <c r="C133" s="45" t="s">
        <v>202</v>
      </c>
      <c r="D133" s="40">
        <v>3.9</v>
      </c>
      <c r="E133" s="40">
        <v>2.8</v>
      </c>
      <c r="F133" s="40">
        <v>0.6</v>
      </c>
      <c r="G133" s="40">
        <v>1.5</v>
      </c>
      <c r="H133" s="40">
        <v>3.7</v>
      </c>
      <c r="I133" s="40">
        <v>2.7</v>
      </c>
      <c r="J133" s="40">
        <v>1.1000000000000001</v>
      </c>
      <c r="K133" s="40">
        <v>2.5</v>
      </c>
      <c r="L133" s="40">
        <v>-0.8</v>
      </c>
      <c r="M133" s="40">
        <v>-6.7</v>
      </c>
      <c r="N133" s="40">
        <v>-10.7</v>
      </c>
      <c r="O133" s="40">
        <v>3.5</v>
      </c>
      <c r="P133" s="40">
        <v>0.7</v>
      </c>
      <c r="Q133" s="40">
        <v>3.9</v>
      </c>
      <c r="R133" s="40">
        <v>-0.1</v>
      </c>
      <c r="S133" s="40">
        <v>0.8</v>
      </c>
      <c r="T133" s="40">
        <v>1.5</v>
      </c>
      <c r="U133" s="40">
        <v>-0.3</v>
      </c>
      <c r="V133" s="40">
        <v>0.3</v>
      </c>
      <c r="W133" s="40">
        <v>-0.4</v>
      </c>
      <c r="X133" s="40">
        <v>-1.7</v>
      </c>
      <c r="Y133" s="40">
        <v>-17.2</v>
      </c>
      <c r="Z133" s="40">
        <v>14.8</v>
      </c>
      <c r="AA133" s="40">
        <v>7.9</v>
      </c>
      <c r="AB133" s="40">
        <v>-2.1</v>
      </c>
      <c r="AC133" s="40"/>
    </row>
    <row r="134" spans="1:29" x14ac:dyDescent="0.2">
      <c r="A134" s="45" t="s">
        <v>86</v>
      </c>
      <c r="B134" s="45" t="s">
        <v>201</v>
      </c>
      <c r="C134" s="45" t="s">
        <v>200</v>
      </c>
      <c r="D134" s="40">
        <v>2.6</v>
      </c>
      <c r="E134" s="40">
        <v>2.2000000000000002</v>
      </c>
      <c r="F134" s="40">
        <v>0.5</v>
      </c>
      <c r="G134" s="40">
        <v>0.1</v>
      </c>
      <c r="H134" s="40">
        <v>4.0999999999999996</v>
      </c>
      <c r="I134" s="40">
        <v>2.4</v>
      </c>
      <c r="J134" s="40">
        <v>-0.1</v>
      </c>
      <c r="K134" s="40">
        <v>3.4</v>
      </c>
      <c r="L134" s="40">
        <v>0.1</v>
      </c>
      <c r="M134" s="40">
        <v>-6.7</v>
      </c>
      <c r="N134" s="40">
        <v>-10.9</v>
      </c>
      <c r="O134" s="40">
        <v>5.7</v>
      </c>
      <c r="P134" s="40">
        <v>-0.9</v>
      </c>
      <c r="Q134" s="40">
        <v>0.6</v>
      </c>
      <c r="R134" s="40">
        <v>0.7</v>
      </c>
      <c r="S134" s="40">
        <v>1.2</v>
      </c>
      <c r="T134" s="40">
        <v>1.6</v>
      </c>
      <c r="U134" s="40">
        <v>-0.2</v>
      </c>
      <c r="V134" s="40">
        <v>-1.6</v>
      </c>
      <c r="W134" s="40">
        <v>4.0999999999999996</v>
      </c>
      <c r="X134" s="40">
        <v>0.5</v>
      </c>
      <c r="Y134" s="40">
        <v>-13.4</v>
      </c>
      <c r="Z134" s="40">
        <v>11.8</v>
      </c>
      <c r="AA134" s="40">
        <v>1.7</v>
      </c>
      <c r="AB134" s="40">
        <v>-5.0999999999999996</v>
      </c>
      <c r="AC134" s="40"/>
    </row>
    <row r="135" spans="1:29" x14ac:dyDescent="0.2">
      <c r="A135" s="49" t="s">
        <v>87</v>
      </c>
      <c r="B135" s="49" t="s">
        <v>199</v>
      </c>
      <c r="C135" s="49" t="s">
        <v>198</v>
      </c>
      <c r="D135" s="48">
        <v>3.8</v>
      </c>
      <c r="E135" s="48">
        <v>2.9</v>
      </c>
      <c r="F135" s="48">
        <v>0</v>
      </c>
      <c r="G135" s="48">
        <v>0.7</v>
      </c>
      <c r="H135" s="48">
        <v>3.9</v>
      </c>
      <c r="I135" s="48">
        <v>1.4</v>
      </c>
      <c r="J135" s="48">
        <v>1.5</v>
      </c>
      <c r="K135" s="48">
        <v>1.5</v>
      </c>
      <c r="L135" s="48">
        <v>3.3</v>
      </c>
      <c r="M135" s="48">
        <v>-4.3</v>
      </c>
      <c r="N135" s="48">
        <v>-8.6999999999999993</v>
      </c>
      <c r="O135" s="48">
        <v>3</v>
      </c>
      <c r="P135" s="48">
        <v>0.3</v>
      </c>
      <c r="Q135" s="48">
        <v>0.1</v>
      </c>
      <c r="R135" s="48">
        <v>-0.1</v>
      </c>
      <c r="S135" s="48">
        <v>2.8</v>
      </c>
      <c r="T135" s="48">
        <v>-1.8</v>
      </c>
      <c r="U135" s="48">
        <v>1.6</v>
      </c>
      <c r="V135" s="48">
        <v>0.3</v>
      </c>
      <c r="W135" s="48">
        <v>0.6</v>
      </c>
      <c r="X135" s="48">
        <v>-0.3</v>
      </c>
      <c r="Y135" s="48">
        <v>-15</v>
      </c>
      <c r="Z135" s="48">
        <v>6.8</v>
      </c>
      <c r="AA135" s="48">
        <v>7.3</v>
      </c>
      <c r="AB135" s="48">
        <v>-2.2999999999999998</v>
      </c>
      <c r="AC135" s="40"/>
    </row>
    <row r="136" spans="1:29" x14ac:dyDescent="0.2">
      <c r="A136" s="45" t="s">
        <v>86</v>
      </c>
      <c r="B136" s="45" t="s">
        <v>197</v>
      </c>
      <c r="C136" s="45" t="s">
        <v>196</v>
      </c>
      <c r="D136" s="40">
        <v>3.1</v>
      </c>
      <c r="E136" s="40">
        <v>-0.1</v>
      </c>
      <c r="F136" s="40">
        <v>0.9</v>
      </c>
      <c r="G136" s="40">
        <v>1.9</v>
      </c>
      <c r="H136" s="40">
        <v>4</v>
      </c>
      <c r="I136" s="40">
        <v>2.1</v>
      </c>
      <c r="J136" s="40">
        <v>0</v>
      </c>
      <c r="K136" s="40">
        <v>3.8</v>
      </c>
      <c r="L136" s="40">
        <v>0.3</v>
      </c>
      <c r="M136" s="40">
        <v>-5.8</v>
      </c>
      <c r="N136" s="40">
        <v>-9.4</v>
      </c>
      <c r="O136" s="40">
        <v>3.3</v>
      </c>
      <c r="P136" s="40">
        <v>0.3</v>
      </c>
      <c r="Q136" s="40">
        <v>0.8</v>
      </c>
      <c r="R136" s="40">
        <v>0</v>
      </c>
      <c r="S136" s="40">
        <v>-2.2999999999999998</v>
      </c>
      <c r="T136" s="40">
        <v>-1.9</v>
      </c>
      <c r="U136" s="40">
        <v>2</v>
      </c>
      <c r="V136" s="40">
        <v>1.5</v>
      </c>
      <c r="W136" s="40">
        <v>-0.9</v>
      </c>
      <c r="X136" s="40">
        <v>-4.0999999999999996</v>
      </c>
      <c r="Y136" s="40">
        <v>-15.4</v>
      </c>
      <c r="Z136" s="40">
        <v>4.4000000000000004</v>
      </c>
      <c r="AA136" s="40">
        <v>7.3</v>
      </c>
      <c r="AB136" s="40">
        <v>-3.9</v>
      </c>
      <c r="AC136" s="40"/>
    </row>
    <row r="137" spans="1:29" x14ac:dyDescent="0.2">
      <c r="A137" s="45" t="s">
        <v>86</v>
      </c>
      <c r="B137" s="45" t="s">
        <v>195</v>
      </c>
      <c r="C137" s="45" t="s">
        <v>194</v>
      </c>
      <c r="D137" s="40">
        <v>4.5999999999999996</v>
      </c>
      <c r="E137" s="40">
        <v>5.8</v>
      </c>
      <c r="F137" s="40">
        <v>-0.6</v>
      </c>
      <c r="G137" s="40">
        <v>0.1</v>
      </c>
      <c r="H137" s="40">
        <v>3.2</v>
      </c>
      <c r="I137" s="40">
        <v>-0.3</v>
      </c>
      <c r="J137" s="40">
        <v>2.7</v>
      </c>
      <c r="K137" s="40">
        <v>-1.9</v>
      </c>
      <c r="L137" s="40">
        <v>7.8</v>
      </c>
      <c r="M137" s="40">
        <v>-4.2</v>
      </c>
      <c r="N137" s="40">
        <v>-8.9</v>
      </c>
      <c r="O137" s="40">
        <v>1.1000000000000001</v>
      </c>
      <c r="P137" s="40">
        <v>-2.7</v>
      </c>
      <c r="Q137" s="40">
        <v>-1.3</v>
      </c>
      <c r="R137" s="40">
        <v>-1.3</v>
      </c>
      <c r="S137" s="40">
        <v>6.3</v>
      </c>
      <c r="T137" s="40">
        <v>-1.6</v>
      </c>
      <c r="U137" s="40">
        <v>-0.2</v>
      </c>
      <c r="V137" s="40">
        <v>1.3</v>
      </c>
      <c r="W137" s="40">
        <v>5.5</v>
      </c>
      <c r="X137" s="40">
        <v>2.8</v>
      </c>
      <c r="Y137" s="40">
        <v>-11.2</v>
      </c>
      <c r="Z137" s="40">
        <v>6.7</v>
      </c>
      <c r="AA137" s="40">
        <v>6.4</v>
      </c>
      <c r="AB137" s="40">
        <v>-3.1</v>
      </c>
      <c r="AC137" s="40"/>
    </row>
    <row r="138" spans="1:29" x14ac:dyDescent="0.2">
      <c r="A138" s="45" t="s">
        <v>86</v>
      </c>
      <c r="B138" s="45" t="s">
        <v>193</v>
      </c>
      <c r="C138" s="45" t="s">
        <v>192</v>
      </c>
      <c r="D138" s="40">
        <v>3.7</v>
      </c>
      <c r="E138" s="40">
        <v>3</v>
      </c>
      <c r="F138" s="40">
        <v>-0.3</v>
      </c>
      <c r="G138" s="40">
        <v>0</v>
      </c>
      <c r="H138" s="40">
        <v>3.7</v>
      </c>
      <c r="I138" s="40">
        <v>2.2999999999999998</v>
      </c>
      <c r="J138" s="40">
        <v>1.2</v>
      </c>
      <c r="K138" s="40">
        <v>2.2999999999999998</v>
      </c>
      <c r="L138" s="40">
        <v>1.6</v>
      </c>
      <c r="M138" s="40">
        <v>-4.3</v>
      </c>
      <c r="N138" s="40">
        <v>-8.9</v>
      </c>
      <c r="O138" s="40">
        <v>3.3</v>
      </c>
      <c r="P138" s="40">
        <v>0.9</v>
      </c>
      <c r="Q138" s="40">
        <v>-0.2</v>
      </c>
      <c r="R138" s="40">
        <v>0.3</v>
      </c>
      <c r="S138" s="40">
        <v>3.3</v>
      </c>
      <c r="T138" s="40">
        <v>-2</v>
      </c>
      <c r="U138" s="40">
        <v>2.9</v>
      </c>
      <c r="V138" s="40">
        <v>-1</v>
      </c>
      <c r="W138" s="40">
        <v>-1.3</v>
      </c>
      <c r="X138" s="40">
        <v>-0.5</v>
      </c>
      <c r="Y138" s="40">
        <v>-16.899999999999999</v>
      </c>
      <c r="Z138" s="40">
        <v>7.6</v>
      </c>
      <c r="AA138" s="40">
        <v>7.3</v>
      </c>
      <c r="AB138" s="40">
        <v>-0.3</v>
      </c>
      <c r="AC138" s="40"/>
    </row>
    <row r="139" spans="1:29" x14ac:dyDescent="0.2">
      <c r="A139" s="49" t="s">
        <v>87</v>
      </c>
      <c r="B139" s="49" t="s">
        <v>191</v>
      </c>
      <c r="C139" s="49" t="s">
        <v>190</v>
      </c>
      <c r="D139" s="48">
        <v>3.5</v>
      </c>
      <c r="E139" s="48">
        <v>5.0999999999999996</v>
      </c>
      <c r="F139" s="48">
        <v>-2.4</v>
      </c>
      <c r="G139" s="48">
        <v>0.3</v>
      </c>
      <c r="H139" s="48">
        <v>3.7</v>
      </c>
      <c r="I139" s="48">
        <v>1.9</v>
      </c>
      <c r="J139" s="48">
        <v>1.9</v>
      </c>
      <c r="K139" s="48">
        <v>5.3</v>
      </c>
      <c r="L139" s="48">
        <v>2.2000000000000002</v>
      </c>
      <c r="M139" s="48">
        <v>-4.8</v>
      </c>
      <c r="N139" s="48">
        <v>-8.6999999999999993</v>
      </c>
      <c r="O139" s="48">
        <v>3.3</v>
      </c>
      <c r="P139" s="48">
        <v>1.6</v>
      </c>
      <c r="Q139" s="48">
        <v>2</v>
      </c>
      <c r="R139" s="48">
        <v>2.8</v>
      </c>
      <c r="S139" s="48">
        <v>4</v>
      </c>
      <c r="T139" s="48">
        <v>-1.1000000000000001</v>
      </c>
      <c r="U139" s="48">
        <v>0.8</v>
      </c>
      <c r="V139" s="48">
        <v>0.3</v>
      </c>
      <c r="W139" s="48">
        <v>-0.4</v>
      </c>
      <c r="X139" s="48">
        <v>-0.6</v>
      </c>
      <c r="Y139" s="48">
        <v>-21</v>
      </c>
      <c r="Z139" s="48">
        <v>6</v>
      </c>
      <c r="AA139" s="48">
        <v>14</v>
      </c>
      <c r="AB139" s="48">
        <v>-3.9</v>
      </c>
      <c r="AC139" s="40"/>
    </row>
    <row r="140" spans="1:29" x14ac:dyDescent="0.2">
      <c r="A140" s="45" t="s">
        <v>86</v>
      </c>
      <c r="B140" s="45" t="s">
        <v>189</v>
      </c>
      <c r="C140" s="45" t="s">
        <v>188</v>
      </c>
      <c r="D140" s="40">
        <v>3.2</v>
      </c>
      <c r="E140" s="40">
        <v>1.5</v>
      </c>
      <c r="F140" s="40">
        <v>-0.3</v>
      </c>
      <c r="G140" s="40">
        <v>1.2</v>
      </c>
      <c r="H140" s="40">
        <v>3.2</v>
      </c>
      <c r="I140" s="40">
        <v>1.4</v>
      </c>
      <c r="J140" s="40">
        <v>-0.2</v>
      </c>
      <c r="K140" s="40">
        <v>3.8</v>
      </c>
      <c r="L140" s="40">
        <v>-0.6</v>
      </c>
      <c r="M140" s="40">
        <v>-7.3</v>
      </c>
      <c r="N140" s="40">
        <v>-8.1</v>
      </c>
      <c r="O140" s="40">
        <v>4.0999999999999996</v>
      </c>
      <c r="P140" s="40">
        <v>0</v>
      </c>
      <c r="Q140" s="40">
        <v>3.6</v>
      </c>
      <c r="R140" s="40">
        <v>-0.6</v>
      </c>
      <c r="S140" s="40">
        <v>1.7</v>
      </c>
      <c r="T140" s="40">
        <v>-0.6</v>
      </c>
      <c r="U140" s="40">
        <v>0.8</v>
      </c>
      <c r="V140" s="40">
        <v>-0.6</v>
      </c>
      <c r="W140" s="40">
        <v>0.1</v>
      </c>
      <c r="X140" s="40">
        <v>-0.4</v>
      </c>
      <c r="Y140" s="40">
        <v>-11.3</v>
      </c>
      <c r="Z140" s="40">
        <v>11.2</v>
      </c>
      <c r="AA140" s="40">
        <v>8.5</v>
      </c>
      <c r="AB140" s="40">
        <v>-5.9</v>
      </c>
      <c r="AC140" s="40"/>
    </row>
    <row r="141" spans="1:29" x14ac:dyDescent="0.2">
      <c r="A141" s="45" t="s">
        <v>86</v>
      </c>
      <c r="B141" s="45" t="s">
        <v>187</v>
      </c>
      <c r="C141" s="45" t="s">
        <v>186</v>
      </c>
      <c r="D141" s="40">
        <v>5.8</v>
      </c>
      <c r="E141" s="40">
        <v>2.5</v>
      </c>
      <c r="F141" s="40">
        <v>-1.7</v>
      </c>
      <c r="G141" s="40">
        <v>1</v>
      </c>
      <c r="H141" s="40">
        <v>2.2999999999999998</v>
      </c>
      <c r="I141" s="40">
        <v>0.9</v>
      </c>
      <c r="J141" s="40">
        <v>1.8</v>
      </c>
      <c r="K141" s="40">
        <v>3.3</v>
      </c>
      <c r="L141" s="40">
        <v>-1.9</v>
      </c>
      <c r="M141" s="40">
        <v>-6.8</v>
      </c>
      <c r="N141" s="40">
        <v>-9.6</v>
      </c>
      <c r="O141" s="40">
        <v>2.7</v>
      </c>
      <c r="P141" s="40">
        <v>-0.2</v>
      </c>
      <c r="Q141" s="40">
        <v>3.7</v>
      </c>
      <c r="R141" s="40">
        <v>1.6</v>
      </c>
      <c r="S141" s="40">
        <v>4.7</v>
      </c>
      <c r="T141" s="40">
        <v>0.3</v>
      </c>
      <c r="U141" s="40">
        <v>1.1000000000000001</v>
      </c>
      <c r="V141" s="40">
        <v>-1.1000000000000001</v>
      </c>
      <c r="W141" s="40">
        <v>-3.3</v>
      </c>
      <c r="X141" s="40">
        <v>2.1</v>
      </c>
      <c r="Y141" s="40">
        <v>-14</v>
      </c>
      <c r="Z141" s="40">
        <v>8.5</v>
      </c>
      <c r="AA141" s="40">
        <v>7.4</v>
      </c>
      <c r="AB141" s="40">
        <v>-3.1</v>
      </c>
      <c r="AC141" s="40"/>
    </row>
    <row r="142" spans="1:29" x14ac:dyDescent="0.2">
      <c r="A142" s="45" t="s">
        <v>86</v>
      </c>
      <c r="B142" s="45" t="s">
        <v>185</v>
      </c>
      <c r="C142" s="45" t="s">
        <v>184</v>
      </c>
      <c r="D142" s="40">
        <v>3</v>
      </c>
      <c r="E142" s="40">
        <v>3</v>
      </c>
      <c r="F142" s="40">
        <v>-0.2</v>
      </c>
      <c r="G142" s="40">
        <v>0</v>
      </c>
      <c r="H142" s="40">
        <v>3.8</v>
      </c>
      <c r="I142" s="40">
        <v>1</v>
      </c>
      <c r="J142" s="40">
        <v>0.2</v>
      </c>
      <c r="K142" s="40">
        <v>4</v>
      </c>
      <c r="L142" s="40">
        <v>0.1</v>
      </c>
      <c r="M142" s="40">
        <v>-5.7</v>
      </c>
      <c r="N142" s="40">
        <v>-10.1</v>
      </c>
      <c r="O142" s="40">
        <v>2.6</v>
      </c>
      <c r="P142" s="40">
        <v>1</v>
      </c>
      <c r="Q142" s="40">
        <v>3.4</v>
      </c>
      <c r="R142" s="40">
        <v>2.4</v>
      </c>
      <c r="S142" s="40">
        <v>4.3</v>
      </c>
      <c r="T142" s="40">
        <v>0.2</v>
      </c>
      <c r="U142" s="40">
        <v>1.9</v>
      </c>
      <c r="V142" s="40">
        <v>-4.0999999999999996</v>
      </c>
      <c r="W142" s="40">
        <v>-1.1000000000000001</v>
      </c>
      <c r="X142" s="40">
        <v>-3</v>
      </c>
      <c r="Y142" s="40">
        <v>-9.6</v>
      </c>
      <c r="Z142" s="40">
        <v>3.8</v>
      </c>
      <c r="AA142" s="40">
        <v>3.7</v>
      </c>
      <c r="AB142" s="40">
        <v>-7.7</v>
      </c>
      <c r="AC142" s="40"/>
    </row>
    <row r="143" spans="1:29" x14ac:dyDescent="0.2">
      <c r="A143" s="45" t="s">
        <v>86</v>
      </c>
      <c r="B143" s="45" t="s">
        <v>183</v>
      </c>
      <c r="C143" s="45" t="s">
        <v>182</v>
      </c>
      <c r="D143" s="40">
        <v>2.2999999999999998</v>
      </c>
      <c r="E143" s="40">
        <v>5.8</v>
      </c>
      <c r="F143" s="40">
        <v>-6.1</v>
      </c>
      <c r="G143" s="40">
        <v>-0.8</v>
      </c>
      <c r="H143" s="40">
        <v>4.7</v>
      </c>
      <c r="I143" s="40">
        <v>4.0999999999999996</v>
      </c>
      <c r="J143" s="40">
        <v>2</v>
      </c>
      <c r="K143" s="40">
        <v>4.5999999999999996</v>
      </c>
      <c r="L143" s="40">
        <v>4.7</v>
      </c>
      <c r="M143" s="40">
        <v>-7.8</v>
      </c>
      <c r="N143" s="40">
        <v>-10.9</v>
      </c>
      <c r="O143" s="40">
        <v>5</v>
      </c>
      <c r="P143" s="40">
        <v>2.9</v>
      </c>
      <c r="Q143" s="40">
        <v>-0.4</v>
      </c>
      <c r="R143" s="40">
        <v>2</v>
      </c>
      <c r="S143" s="40">
        <v>5.2</v>
      </c>
      <c r="T143" s="40">
        <v>-5.0999999999999996</v>
      </c>
      <c r="U143" s="40">
        <v>-2.8</v>
      </c>
      <c r="V143" s="40">
        <v>2.2000000000000002</v>
      </c>
      <c r="W143" s="40">
        <v>-0.1</v>
      </c>
      <c r="X143" s="40">
        <v>-1.9</v>
      </c>
      <c r="Y143" s="40">
        <v>-27.4</v>
      </c>
      <c r="Z143" s="40">
        <v>6.8</v>
      </c>
      <c r="AA143" s="40">
        <v>15.8</v>
      </c>
      <c r="AB143" s="40">
        <v>-2.2000000000000002</v>
      </c>
      <c r="AC143" s="40"/>
    </row>
    <row r="144" spans="1:29" x14ac:dyDescent="0.2">
      <c r="A144" s="45" t="s">
        <v>86</v>
      </c>
      <c r="B144" s="45" t="s">
        <v>181</v>
      </c>
      <c r="C144" s="45" t="s">
        <v>180</v>
      </c>
      <c r="D144" s="40">
        <v>4.9000000000000004</v>
      </c>
      <c r="E144" s="40">
        <v>8.8000000000000007</v>
      </c>
      <c r="F144" s="40">
        <v>0</v>
      </c>
      <c r="G144" s="40">
        <v>0.3</v>
      </c>
      <c r="H144" s="40">
        <v>2.2999999999999998</v>
      </c>
      <c r="I144" s="40">
        <v>0.6</v>
      </c>
      <c r="J144" s="40">
        <v>2.2999999999999998</v>
      </c>
      <c r="K144" s="40">
        <v>8.1</v>
      </c>
      <c r="L144" s="40">
        <v>3</v>
      </c>
      <c r="M144" s="40">
        <v>-0.2</v>
      </c>
      <c r="N144" s="40">
        <v>-6.9</v>
      </c>
      <c r="O144" s="40">
        <v>0.7</v>
      </c>
      <c r="P144" s="40">
        <v>0.7</v>
      </c>
      <c r="Q144" s="40">
        <v>1.2</v>
      </c>
      <c r="R144" s="40">
        <v>5.4</v>
      </c>
      <c r="S144" s="40">
        <v>3.4</v>
      </c>
      <c r="T144" s="40">
        <v>1.2</v>
      </c>
      <c r="U144" s="40">
        <v>4</v>
      </c>
      <c r="V144" s="40">
        <v>1</v>
      </c>
      <c r="W144" s="40">
        <v>0.8</v>
      </c>
      <c r="X144" s="40">
        <v>-0.2</v>
      </c>
      <c r="Y144" s="40">
        <v>-26.2</v>
      </c>
      <c r="Z144" s="40">
        <v>2</v>
      </c>
      <c r="AA144" s="40">
        <v>22.7</v>
      </c>
      <c r="AB144" s="40">
        <v>-2.6</v>
      </c>
      <c r="AC144" s="40"/>
    </row>
    <row r="145" spans="1:29" x14ac:dyDescent="0.2">
      <c r="A145" s="51" t="s">
        <v>88</v>
      </c>
      <c r="B145" s="51" t="s">
        <v>179</v>
      </c>
      <c r="C145" s="51" t="s">
        <v>178</v>
      </c>
      <c r="D145" s="50">
        <v>3.6</v>
      </c>
      <c r="E145" s="50">
        <v>4.9000000000000004</v>
      </c>
      <c r="F145" s="50">
        <v>1.2</v>
      </c>
      <c r="G145" s="50">
        <v>1.5</v>
      </c>
      <c r="H145" s="50">
        <v>1.8</v>
      </c>
      <c r="I145" s="50">
        <v>0.7</v>
      </c>
      <c r="J145" s="50">
        <v>2.2000000000000002</v>
      </c>
      <c r="K145" s="50">
        <v>1.5</v>
      </c>
      <c r="L145" s="50">
        <v>1.8</v>
      </c>
      <c r="M145" s="50">
        <v>0.4</v>
      </c>
      <c r="N145" s="50">
        <v>-5</v>
      </c>
      <c r="O145" s="50">
        <v>4.5</v>
      </c>
      <c r="P145" s="50">
        <v>2</v>
      </c>
      <c r="Q145" s="50">
        <v>1.4</v>
      </c>
      <c r="R145" s="50">
        <v>1</v>
      </c>
      <c r="S145" s="50">
        <v>2.1</v>
      </c>
      <c r="T145" s="50">
        <v>1.7</v>
      </c>
      <c r="U145" s="50">
        <v>-0.3</v>
      </c>
      <c r="V145" s="50">
        <v>1.8</v>
      </c>
      <c r="W145" s="50">
        <v>1.2</v>
      </c>
      <c r="X145" s="50">
        <v>2.5</v>
      </c>
      <c r="Y145" s="50">
        <v>-7.8</v>
      </c>
      <c r="Z145" s="50">
        <v>5.6</v>
      </c>
      <c r="AA145" s="50">
        <v>2</v>
      </c>
      <c r="AB145" s="50">
        <v>-2.1</v>
      </c>
      <c r="AC145" s="43"/>
    </row>
    <row r="146" spans="1:29" x14ac:dyDescent="0.2">
      <c r="A146" s="49" t="s">
        <v>87</v>
      </c>
      <c r="B146" s="49" t="s">
        <v>177</v>
      </c>
      <c r="C146" s="49" t="s">
        <v>176</v>
      </c>
      <c r="D146" s="48">
        <v>5.6</v>
      </c>
      <c r="E146" s="48">
        <v>7.8</v>
      </c>
      <c r="F146" s="48">
        <v>1.6</v>
      </c>
      <c r="G146" s="48">
        <v>3</v>
      </c>
      <c r="H146" s="48">
        <v>4</v>
      </c>
      <c r="I146" s="48">
        <v>0.2</v>
      </c>
      <c r="J146" s="48">
        <v>2.8</v>
      </c>
      <c r="K146" s="48">
        <v>2.1</v>
      </c>
      <c r="L146" s="48">
        <v>1.8</v>
      </c>
      <c r="M146" s="48">
        <v>0.3</v>
      </c>
      <c r="N146" s="48">
        <v>-4.0999999999999996</v>
      </c>
      <c r="O146" s="48">
        <v>3.7</v>
      </c>
      <c r="P146" s="48">
        <v>3.8</v>
      </c>
      <c r="Q146" s="48">
        <v>2</v>
      </c>
      <c r="R146" s="48">
        <v>0.5</v>
      </c>
      <c r="S146" s="48">
        <v>3.5</v>
      </c>
      <c r="T146" s="48">
        <v>1.9</v>
      </c>
      <c r="U146" s="48">
        <v>-1.4</v>
      </c>
      <c r="V146" s="48">
        <v>1.3</v>
      </c>
      <c r="W146" s="48">
        <v>2.8</v>
      </c>
      <c r="X146" s="48">
        <v>3.1</v>
      </c>
      <c r="Y146" s="48">
        <v>-5.3</v>
      </c>
      <c r="Z146" s="48">
        <v>5.3</v>
      </c>
      <c r="AA146" s="48">
        <v>1</v>
      </c>
      <c r="AB146" s="48">
        <v>-2.4</v>
      </c>
      <c r="AC146" s="40"/>
    </row>
    <row r="147" spans="1:29" x14ac:dyDescent="0.2">
      <c r="A147" s="45" t="s">
        <v>86</v>
      </c>
      <c r="B147" s="45" t="s">
        <v>175</v>
      </c>
      <c r="C147" s="45" t="s">
        <v>174</v>
      </c>
      <c r="D147" s="40">
        <v>0.6</v>
      </c>
      <c r="E147" s="40">
        <v>6.5</v>
      </c>
      <c r="F147" s="40">
        <v>1.2</v>
      </c>
      <c r="G147" s="40">
        <v>3.9</v>
      </c>
      <c r="H147" s="40">
        <v>2.9</v>
      </c>
      <c r="I147" s="40">
        <v>-2.8</v>
      </c>
      <c r="J147" s="40">
        <v>0.5</v>
      </c>
      <c r="K147" s="40">
        <v>2.6</v>
      </c>
      <c r="L147" s="40">
        <v>0.3</v>
      </c>
      <c r="M147" s="40">
        <v>-2.2000000000000002</v>
      </c>
      <c r="N147" s="40">
        <v>-9.4</v>
      </c>
      <c r="O147" s="40">
        <v>3</v>
      </c>
      <c r="P147" s="40">
        <v>1.6</v>
      </c>
      <c r="Q147" s="40">
        <v>1.9</v>
      </c>
      <c r="R147" s="40">
        <v>2.2999999999999998</v>
      </c>
      <c r="S147" s="40">
        <v>6.9</v>
      </c>
      <c r="T147" s="40">
        <v>6.5</v>
      </c>
      <c r="U147" s="40">
        <v>-3.9</v>
      </c>
      <c r="V147" s="40">
        <v>4.0999999999999996</v>
      </c>
      <c r="W147" s="40">
        <v>0.1</v>
      </c>
      <c r="X147" s="40">
        <v>-1.7</v>
      </c>
      <c r="Y147" s="40">
        <v>-11.8</v>
      </c>
      <c r="Z147" s="40">
        <v>5.0999999999999996</v>
      </c>
      <c r="AA147" s="40">
        <v>4.2</v>
      </c>
      <c r="AB147" s="40">
        <v>-3.7</v>
      </c>
      <c r="AC147" s="40"/>
    </row>
    <row r="148" spans="1:29" x14ac:dyDescent="0.2">
      <c r="A148" s="45" t="s">
        <v>86</v>
      </c>
      <c r="B148" s="45" t="s">
        <v>173</v>
      </c>
      <c r="C148" s="45" t="s">
        <v>172</v>
      </c>
      <c r="D148" s="40">
        <v>3</v>
      </c>
      <c r="E148" s="40">
        <v>4.8</v>
      </c>
      <c r="F148" s="40">
        <v>0</v>
      </c>
      <c r="G148" s="40">
        <v>0.3</v>
      </c>
      <c r="H148" s="40">
        <v>1.1000000000000001</v>
      </c>
      <c r="I148" s="40">
        <v>-1.6</v>
      </c>
      <c r="J148" s="40">
        <v>2.9</v>
      </c>
      <c r="K148" s="40">
        <v>-0.1</v>
      </c>
      <c r="L148" s="40">
        <v>3.1</v>
      </c>
      <c r="M148" s="40">
        <v>0.7</v>
      </c>
      <c r="N148" s="40">
        <v>-5.7</v>
      </c>
      <c r="O148" s="40">
        <v>2.8</v>
      </c>
      <c r="P148" s="40">
        <v>2.2000000000000002</v>
      </c>
      <c r="Q148" s="40">
        <v>-0.3</v>
      </c>
      <c r="R148" s="40">
        <v>0</v>
      </c>
      <c r="S148" s="40">
        <v>0.9</v>
      </c>
      <c r="T148" s="40">
        <v>-1.7</v>
      </c>
      <c r="U148" s="40">
        <v>-1.4</v>
      </c>
      <c r="V148" s="40">
        <v>-0.7</v>
      </c>
      <c r="W148" s="40">
        <v>0.6</v>
      </c>
      <c r="X148" s="40">
        <v>4.3</v>
      </c>
      <c r="Y148" s="40">
        <v>-9</v>
      </c>
      <c r="Z148" s="40">
        <v>6.2</v>
      </c>
      <c r="AA148" s="40">
        <v>-0.2</v>
      </c>
      <c r="AB148" s="40">
        <v>-2.5</v>
      </c>
      <c r="AC148" s="40"/>
    </row>
    <row r="149" spans="1:29" x14ac:dyDescent="0.2">
      <c r="A149" s="45" t="s">
        <v>86</v>
      </c>
      <c r="B149" s="45" t="s">
        <v>171</v>
      </c>
      <c r="C149" s="45" t="s">
        <v>170</v>
      </c>
      <c r="D149" s="40">
        <v>2.7</v>
      </c>
      <c r="E149" s="40">
        <v>3.1</v>
      </c>
      <c r="F149" s="40">
        <v>2</v>
      </c>
      <c r="G149" s="40">
        <v>2.7</v>
      </c>
      <c r="H149" s="40">
        <v>1.6</v>
      </c>
      <c r="I149" s="40">
        <v>-1.1000000000000001</v>
      </c>
      <c r="J149" s="40">
        <v>0.4</v>
      </c>
      <c r="K149" s="40">
        <v>1.1000000000000001</v>
      </c>
      <c r="L149" s="40">
        <v>0.2</v>
      </c>
      <c r="M149" s="40">
        <v>0.5</v>
      </c>
      <c r="N149" s="40">
        <v>-5.0999999999999996</v>
      </c>
      <c r="O149" s="40">
        <v>2.6</v>
      </c>
      <c r="P149" s="40">
        <v>2</v>
      </c>
      <c r="Q149" s="40">
        <v>0.9</v>
      </c>
      <c r="R149" s="40">
        <v>1.5</v>
      </c>
      <c r="S149" s="40">
        <v>2.4</v>
      </c>
      <c r="T149" s="40">
        <v>0.4</v>
      </c>
      <c r="U149" s="40">
        <v>-4.2</v>
      </c>
      <c r="V149" s="40">
        <v>0</v>
      </c>
      <c r="W149" s="40">
        <v>1.1000000000000001</v>
      </c>
      <c r="X149" s="40">
        <v>3.6</v>
      </c>
      <c r="Y149" s="40">
        <v>-5.6</v>
      </c>
      <c r="Z149" s="40">
        <v>3.6</v>
      </c>
      <c r="AA149" s="40">
        <v>3.6</v>
      </c>
      <c r="AB149" s="40">
        <v>-4.9000000000000004</v>
      </c>
      <c r="AC149" s="40"/>
    </row>
    <row r="150" spans="1:29" x14ac:dyDescent="0.2">
      <c r="A150" s="45" t="s">
        <v>86</v>
      </c>
      <c r="B150" s="45" t="s">
        <v>169</v>
      </c>
      <c r="C150" s="45" t="s">
        <v>168</v>
      </c>
      <c r="D150" s="40">
        <v>8.5</v>
      </c>
      <c r="E150" s="40">
        <v>11.4</v>
      </c>
      <c r="F150" s="40">
        <v>2.2000000000000002</v>
      </c>
      <c r="G150" s="40">
        <v>4.0999999999999996</v>
      </c>
      <c r="H150" s="40">
        <v>6.3</v>
      </c>
      <c r="I150" s="40">
        <v>1.2</v>
      </c>
      <c r="J150" s="40">
        <v>3.2</v>
      </c>
      <c r="K150" s="40">
        <v>2.9</v>
      </c>
      <c r="L150" s="40">
        <v>1.2</v>
      </c>
      <c r="M150" s="40">
        <v>0.2</v>
      </c>
      <c r="N150" s="40">
        <v>-2.2000000000000002</v>
      </c>
      <c r="O150" s="40">
        <v>4.0999999999999996</v>
      </c>
      <c r="P150" s="40">
        <v>5.0999999999999996</v>
      </c>
      <c r="Q150" s="40">
        <v>2</v>
      </c>
      <c r="R150" s="40">
        <v>1.6</v>
      </c>
      <c r="S150" s="40">
        <v>2.1</v>
      </c>
      <c r="T150" s="40">
        <v>1.8</v>
      </c>
      <c r="U150" s="40">
        <v>-0.4</v>
      </c>
      <c r="V150" s="40">
        <v>2.1</v>
      </c>
      <c r="W150" s="40">
        <v>1.3</v>
      </c>
      <c r="X150" s="40">
        <v>0.2</v>
      </c>
      <c r="Y150" s="40">
        <v>-4.0999999999999996</v>
      </c>
      <c r="Z150" s="40">
        <v>5.4</v>
      </c>
      <c r="AA150" s="40">
        <v>-1.8</v>
      </c>
      <c r="AB150" s="40">
        <v>-3</v>
      </c>
      <c r="AC150" s="40"/>
    </row>
    <row r="151" spans="1:29" x14ac:dyDescent="0.2">
      <c r="A151" s="45" t="s">
        <v>86</v>
      </c>
      <c r="B151" s="45" t="s">
        <v>167</v>
      </c>
      <c r="C151" s="45" t="s">
        <v>166</v>
      </c>
      <c r="D151" s="40">
        <v>10.9</v>
      </c>
      <c r="E151" s="40">
        <v>12</v>
      </c>
      <c r="F151" s="40">
        <v>1.9</v>
      </c>
      <c r="G151" s="40">
        <v>3.5</v>
      </c>
      <c r="H151" s="40">
        <v>6.9</v>
      </c>
      <c r="I151" s="40">
        <v>3.7</v>
      </c>
      <c r="J151" s="40">
        <v>4.8</v>
      </c>
      <c r="K151" s="40">
        <v>3.7</v>
      </c>
      <c r="L151" s="40">
        <v>2.9</v>
      </c>
      <c r="M151" s="40">
        <v>-0.3</v>
      </c>
      <c r="N151" s="40">
        <v>-1.6</v>
      </c>
      <c r="O151" s="40">
        <v>3.8</v>
      </c>
      <c r="P151" s="40">
        <v>5.8</v>
      </c>
      <c r="Q151" s="40">
        <v>4.3</v>
      </c>
      <c r="R151" s="40">
        <v>-1.4</v>
      </c>
      <c r="S151" s="40">
        <v>6.3</v>
      </c>
      <c r="T151" s="40">
        <v>4.3</v>
      </c>
      <c r="U151" s="40">
        <v>2.2999999999999998</v>
      </c>
      <c r="V151" s="40">
        <v>1.2</v>
      </c>
      <c r="W151" s="40">
        <v>9.5</v>
      </c>
      <c r="X151" s="40">
        <v>7.5</v>
      </c>
      <c r="Y151" s="40">
        <v>0.5</v>
      </c>
      <c r="Z151" s="40">
        <v>6</v>
      </c>
      <c r="AA151" s="40">
        <v>-0.7</v>
      </c>
      <c r="AB151" s="40">
        <v>1.8</v>
      </c>
      <c r="AC151" s="40"/>
    </row>
    <row r="152" spans="1:29" x14ac:dyDescent="0.2">
      <c r="A152" s="49" t="s">
        <v>87</v>
      </c>
      <c r="B152" s="49" t="s">
        <v>165</v>
      </c>
      <c r="C152" s="49" t="s">
        <v>164</v>
      </c>
      <c r="D152" s="48">
        <v>3.9</v>
      </c>
      <c r="E152" s="48">
        <v>3.9</v>
      </c>
      <c r="F152" s="48">
        <v>0.2</v>
      </c>
      <c r="G152" s="48">
        <v>0.4</v>
      </c>
      <c r="H152" s="48">
        <v>0.4</v>
      </c>
      <c r="I152" s="48">
        <v>-0.7</v>
      </c>
      <c r="J152" s="48">
        <v>1.5</v>
      </c>
      <c r="K152" s="48">
        <v>2.4</v>
      </c>
      <c r="L152" s="48">
        <v>2.1</v>
      </c>
      <c r="M152" s="48">
        <v>0.3</v>
      </c>
      <c r="N152" s="48">
        <v>-5.2</v>
      </c>
      <c r="O152" s="48">
        <v>4.5</v>
      </c>
      <c r="P152" s="48">
        <v>-0.1</v>
      </c>
      <c r="Q152" s="48">
        <v>1.4</v>
      </c>
      <c r="R152" s="48">
        <v>1.1000000000000001</v>
      </c>
      <c r="S152" s="48">
        <v>1.4</v>
      </c>
      <c r="T152" s="48">
        <v>1.3</v>
      </c>
      <c r="U152" s="48">
        <v>-0.3</v>
      </c>
      <c r="V152" s="48">
        <v>1.8</v>
      </c>
      <c r="W152" s="48">
        <v>-0.1</v>
      </c>
      <c r="X152" s="48">
        <v>2</v>
      </c>
      <c r="Y152" s="48">
        <v>-9</v>
      </c>
      <c r="Z152" s="48">
        <v>4.7</v>
      </c>
      <c r="AA152" s="48">
        <v>4.4000000000000004</v>
      </c>
      <c r="AB152" s="48">
        <v>-1.7</v>
      </c>
      <c r="AC152" s="40"/>
    </row>
    <row r="153" spans="1:29" x14ac:dyDescent="0.2">
      <c r="A153" s="45" t="s">
        <v>86</v>
      </c>
      <c r="B153" s="45" t="s">
        <v>163</v>
      </c>
      <c r="C153" s="45" t="s">
        <v>162</v>
      </c>
      <c r="D153" s="40">
        <v>4.8</v>
      </c>
      <c r="E153" s="40">
        <v>3.4</v>
      </c>
      <c r="F153" s="40">
        <v>3</v>
      </c>
      <c r="G153" s="40">
        <v>-0.5</v>
      </c>
      <c r="H153" s="40">
        <v>-0.1</v>
      </c>
      <c r="I153" s="40">
        <v>-1.6</v>
      </c>
      <c r="J153" s="40">
        <v>2.7</v>
      </c>
      <c r="K153" s="40">
        <v>-1.6</v>
      </c>
      <c r="L153" s="40">
        <v>5.3</v>
      </c>
      <c r="M153" s="40">
        <v>0.4</v>
      </c>
      <c r="N153" s="40">
        <v>-6</v>
      </c>
      <c r="O153" s="40">
        <v>3.5</v>
      </c>
      <c r="P153" s="40">
        <v>-0.4</v>
      </c>
      <c r="Q153" s="40">
        <v>4.2</v>
      </c>
      <c r="R153" s="40">
        <v>2.6</v>
      </c>
      <c r="S153" s="40">
        <v>2.4</v>
      </c>
      <c r="T153" s="40">
        <v>4.2</v>
      </c>
      <c r="U153" s="40">
        <v>3</v>
      </c>
      <c r="V153" s="40">
        <v>4.5</v>
      </c>
      <c r="W153" s="40">
        <v>3.5</v>
      </c>
      <c r="X153" s="40">
        <v>2.9</v>
      </c>
      <c r="Y153" s="40">
        <v>-6.4</v>
      </c>
      <c r="Z153" s="40">
        <v>10</v>
      </c>
      <c r="AA153" s="40">
        <v>6.4</v>
      </c>
      <c r="AB153" s="40">
        <v>-0.9</v>
      </c>
      <c r="AC153" s="40"/>
    </row>
    <row r="154" spans="1:29" x14ac:dyDescent="0.2">
      <c r="A154" s="45" t="s">
        <v>86</v>
      </c>
      <c r="B154" s="45" t="s">
        <v>161</v>
      </c>
      <c r="C154" s="45" t="s">
        <v>160</v>
      </c>
      <c r="D154" s="40">
        <v>3.2</v>
      </c>
      <c r="E154" s="40">
        <v>2.2000000000000002</v>
      </c>
      <c r="F154" s="40">
        <v>2.2999999999999998</v>
      </c>
      <c r="G154" s="40">
        <v>0.3</v>
      </c>
      <c r="H154" s="40">
        <v>0</v>
      </c>
      <c r="I154" s="40">
        <v>-0.8</v>
      </c>
      <c r="J154" s="40">
        <v>0.9</v>
      </c>
      <c r="K154" s="40">
        <v>1.6</v>
      </c>
      <c r="L154" s="40">
        <v>-1.6</v>
      </c>
      <c r="M154" s="40">
        <v>0.6</v>
      </c>
      <c r="N154" s="40">
        <v>-4.3</v>
      </c>
      <c r="O154" s="40">
        <v>2.7</v>
      </c>
      <c r="P154" s="40">
        <v>0.4</v>
      </c>
      <c r="Q154" s="40">
        <v>-2.2000000000000002</v>
      </c>
      <c r="R154" s="40">
        <v>1.3</v>
      </c>
      <c r="S154" s="40">
        <v>1.7</v>
      </c>
      <c r="T154" s="40">
        <v>1.4</v>
      </c>
      <c r="U154" s="40">
        <v>2.4</v>
      </c>
      <c r="V154" s="40">
        <v>1.2</v>
      </c>
      <c r="W154" s="40">
        <v>-0.8</v>
      </c>
      <c r="X154" s="40">
        <v>2.2000000000000002</v>
      </c>
      <c r="Y154" s="40">
        <v>-8.6</v>
      </c>
      <c r="Z154" s="40">
        <v>8.5</v>
      </c>
      <c r="AA154" s="40">
        <v>0.5</v>
      </c>
      <c r="AB154" s="40">
        <v>-1.9</v>
      </c>
      <c r="AC154" s="40"/>
    </row>
    <row r="155" spans="1:29" x14ac:dyDescent="0.2">
      <c r="A155" s="45" t="s">
        <v>86</v>
      </c>
      <c r="B155" s="45" t="s">
        <v>159</v>
      </c>
      <c r="C155" s="45" t="s">
        <v>158</v>
      </c>
      <c r="D155" s="40">
        <v>4.4000000000000004</v>
      </c>
      <c r="E155" s="40">
        <v>5.6</v>
      </c>
      <c r="F155" s="40">
        <v>0.9</v>
      </c>
      <c r="G155" s="40">
        <v>-0.3</v>
      </c>
      <c r="H155" s="40">
        <v>1.1000000000000001</v>
      </c>
      <c r="I155" s="40">
        <v>0.4</v>
      </c>
      <c r="J155" s="40">
        <v>0.8</v>
      </c>
      <c r="K155" s="40">
        <v>3.9</v>
      </c>
      <c r="L155" s="40">
        <v>-1.3</v>
      </c>
      <c r="M155" s="40">
        <v>-0.3</v>
      </c>
      <c r="N155" s="40">
        <v>-4.5</v>
      </c>
      <c r="O155" s="40">
        <v>3.8</v>
      </c>
      <c r="P155" s="40">
        <v>0.3</v>
      </c>
      <c r="Q155" s="40">
        <v>0.5</v>
      </c>
      <c r="R155" s="40">
        <v>2</v>
      </c>
      <c r="S155" s="40">
        <v>3.4</v>
      </c>
      <c r="T155" s="40">
        <v>2.1</v>
      </c>
      <c r="U155" s="40">
        <v>-1</v>
      </c>
      <c r="V155" s="40">
        <v>0.8</v>
      </c>
      <c r="W155" s="40">
        <v>1</v>
      </c>
      <c r="X155" s="40">
        <v>3.2</v>
      </c>
      <c r="Y155" s="40">
        <v>-5.5</v>
      </c>
      <c r="Z155" s="40">
        <v>1.2</v>
      </c>
      <c r="AA155" s="40">
        <v>1</v>
      </c>
      <c r="AB155" s="40">
        <v>-4.0999999999999996</v>
      </c>
      <c r="AC155" s="40"/>
    </row>
    <row r="156" spans="1:29" x14ac:dyDescent="0.2">
      <c r="A156" s="45" t="s">
        <v>86</v>
      </c>
      <c r="B156" s="45" t="s">
        <v>157</v>
      </c>
      <c r="C156" s="45" t="s">
        <v>156</v>
      </c>
      <c r="D156" s="40">
        <v>2.1</v>
      </c>
      <c r="E156" s="40">
        <v>4.7</v>
      </c>
      <c r="F156" s="40">
        <v>-2.7</v>
      </c>
      <c r="G156" s="40">
        <v>-0.4</v>
      </c>
      <c r="H156" s="40">
        <v>-2.2000000000000002</v>
      </c>
      <c r="I156" s="40">
        <v>-0.4</v>
      </c>
      <c r="J156" s="40">
        <v>4.0999999999999996</v>
      </c>
      <c r="K156" s="40">
        <v>0.7</v>
      </c>
      <c r="L156" s="40">
        <v>8.1999999999999993</v>
      </c>
      <c r="M156" s="40">
        <v>-0.7</v>
      </c>
      <c r="N156" s="40">
        <v>-6.2</v>
      </c>
      <c r="O156" s="40">
        <v>6.5</v>
      </c>
      <c r="P156" s="40">
        <v>-3.7</v>
      </c>
      <c r="Q156" s="40">
        <v>2.8</v>
      </c>
      <c r="R156" s="40">
        <v>-0.5</v>
      </c>
      <c r="S156" s="40">
        <v>-0.7</v>
      </c>
      <c r="T156" s="40">
        <v>-2.6</v>
      </c>
      <c r="U156" s="40">
        <v>-4.8</v>
      </c>
      <c r="V156" s="40">
        <v>0.5</v>
      </c>
      <c r="W156" s="40">
        <v>-6.9</v>
      </c>
      <c r="X156" s="40">
        <v>-0.4</v>
      </c>
      <c r="Y156" s="40">
        <v>-11.9</v>
      </c>
      <c r="Z156" s="40">
        <v>4.8</v>
      </c>
      <c r="AA156" s="40">
        <v>6</v>
      </c>
      <c r="AB156" s="40">
        <v>0.5</v>
      </c>
      <c r="AC156" s="40"/>
    </row>
    <row r="157" spans="1:29" x14ac:dyDescent="0.2">
      <c r="A157" s="45" t="s">
        <v>86</v>
      </c>
      <c r="B157" s="45" t="s">
        <v>155</v>
      </c>
      <c r="C157" s="45" t="s">
        <v>154</v>
      </c>
      <c r="D157" s="40">
        <v>6.4</v>
      </c>
      <c r="E157" s="40">
        <v>1.7</v>
      </c>
      <c r="F157" s="40">
        <v>1.4</v>
      </c>
      <c r="G157" s="40">
        <v>2.7</v>
      </c>
      <c r="H157" s="40">
        <v>1.7</v>
      </c>
      <c r="I157" s="40">
        <v>-1.6</v>
      </c>
      <c r="J157" s="40">
        <v>-0.6</v>
      </c>
      <c r="K157" s="40">
        <v>1.7</v>
      </c>
      <c r="L157" s="40">
        <v>0.4</v>
      </c>
      <c r="M157" s="40">
        <v>0.8</v>
      </c>
      <c r="N157" s="40">
        <v>-7</v>
      </c>
      <c r="O157" s="40">
        <v>3.5</v>
      </c>
      <c r="P157" s="40">
        <v>0.7</v>
      </c>
      <c r="Q157" s="40">
        <v>1.5</v>
      </c>
      <c r="R157" s="40">
        <v>1.1000000000000001</v>
      </c>
      <c r="S157" s="40">
        <v>-1.4</v>
      </c>
      <c r="T157" s="40">
        <v>1.9</v>
      </c>
      <c r="U157" s="40">
        <v>0.6</v>
      </c>
      <c r="V157" s="40">
        <v>4.5999999999999996</v>
      </c>
      <c r="W157" s="40">
        <v>1.5</v>
      </c>
      <c r="X157" s="40">
        <v>1.9</v>
      </c>
      <c r="Y157" s="40">
        <v>-7.7</v>
      </c>
      <c r="Z157" s="40">
        <v>6.5</v>
      </c>
      <c r="AA157" s="40">
        <v>1.3</v>
      </c>
      <c r="AB157" s="40">
        <v>-1.2</v>
      </c>
      <c r="AC157" s="40"/>
    </row>
    <row r="158" spans="1:29" x14ac:dyDescent="0.2">
      <c r="A158" s="45" t="s">
        <v>86</v>
      </c>
      <c r="B158" s="45" t="s">
        <v>153</v>
      </c>
      <c r="C158" s="45" t="s">
        <v>152</v>
      </c>
      <c r="D158" s="40">
        <v>3.8</v>
      </c>
      <c r="E158" s="40">
        <v>3.7</v>
      </c>
      <c r="F158" s="40">
        <v>-1.8</v>
      </c>
      <c r="G158" s="40">
        <v>1.8</v>
      </c>
      <c r="H158" s="40">
        <v>1</v>
      </c>
      <c r="I158" s="40">
        <v>-0.8</v>
      </c>
      <c r="J158" s="40">
        <v>0.2</v>
      </c>
      <c r="K158" s="40">
        <v>4.9000000000000004</v>
      </c>
      <c r="L158" s="40">
        <v>2.8</v>
      </c>
      <c r="M158" s="40">
        <v>0.4</v>
      </c>
      <c r="N158" s="40">
        <v>-5.6</v>
      </c>
      <c r="O158" s="40">
        <v>3.9</v>
      </c>
      <c r="P158" s="40">
        <v>0.9</v>
      </c>
      <c r="Q158" s="40">
        <v>1.5</v>
      </c>
      <c r="R158" s="40">
        <v>-0.9</v>
      </c>
      <c r="S158" s="40">
        <v>0.6</v>
      </c>
      <c r="T158" s="40">
        <v>1.2</v>
      </c>
      <c r="U158" s="40">
        <v>2.2000000000000002</v>
      </c>
      <c r="V158" s="40">
        <v>2.4</v>
      </c>
      <c r="W158" s="40">
        <v>2.2000000000000002</v>
      </c>
      <c r="X158" s="40">
        <v>0.5</v>
      </c>
      <c r="Y158" s="40">
        <v>-18.100000000000001</v>
      </c>
      <c r="Z158" s="40">
        <v>5.0999999999999996</v>
      </c>
      <c r="AA158" s="40">
        <v>16.100000000000001</v>
      </c>
      <c r="AB158" s="40">
        <v>1.9</v>
      </c>
      <c r="AC158" s="40"/>
    </row>
    <row r="159" spans="1:29" x14ac:dyDescent="0.2">
      <c r="A159" s="49" t="s">
        <v>87</v>
      </c>
      <c r="B159" s="49" t="s">
        <v>151</v>
      </c>
      <c r="C159" s="49" t="s">
        <v>150</v>
      </c>
      <c r="D159" s="48">
        <v>0.8</v>
      </c>
      <c r="E159" s="48">
        <v>4.9000000000000004</v>
      </c>
      <c r="F159" s="48">
        <v>2.2000000000000002</v>
      </c>
      <c r="G159" s="48">
        <v>2</v>
      </c>
      <c r="H159" s="48">
        <v>0.4</v>
      </c>
      <c r="I159" s="48">
        <v>2.6</v>
      </c>
      <c r="J159" s="48">
        <v>2.2000000000000002</v>
      </c>
      <c r="K159" s="48">
        <v>0.8</v>
      </c>
      <c r="L159" s="48">
        <v>3</v>
      </c>
      <c r="M159" s="48">
        <v>0.4</v>
      </c>
      <c r="N159" s="48">
        <v>-4</v>
      </c>
      <c r="O159" s="48">
        <v>5.4</v>
      </c>
      <c r="P159" s="48">
        <v>2.1</v>
      </c>
      <c r="Q159" s="48">
        <v>1.1000000000000001</v>
      </c>
      <c r="R159" s="48">
        <v>1.5</v>
      </c>
      <c r="S159" s="48">
        <v>1.6</v>
      </c>
      <c r="T159" s="48">
        <v>1.2</v>
      </c>
      <c r="U159" s="48">
        <v>-0.3</v>
      </c>
      <c r="V159" s="48">
        <v>3.1</v>
      </c>
      <c r="W159" s="48">
        <v>0.9</v>
      </c>
      <c r="X159" s="48">
        <v>2.8</v>
      </c>
      <c r="Y159" s="48">
        <v>-9.5</v>
      </c>
      <c r="Z159" s="48">
        <v>6.6</v>
      </c>
      <c r="AA159" s="48">
        <v>0.3</v>
      </c>
      <c r="AB159" s="48">
        <v>-2.2000000000000002</v>
      </c>
      <c r="AC159" s="40"/>
    </row>
    <row r="160" spans="1:29" x14ac:dyDescent="0.2">
      <c r="A160" s="45" t="s">
        <v>86</v>
      </c>
      <c r="B160" s="45" t="s">
        <v>149</v>
      </c>
      <c r="C160" s="45" t="s">
        <v>148</v>
      </c>
      <c r="D160" s="40">
        <v>2.5</v>
      </c>
      <c r="E160" s="40">
        <v>3.1</v>
      </c>
      <c r="F160" s="40">
        <v>2.9</v>
      </c>
      <c r="G160" s="40">
        <v>2</v>
      </c>
      <c r="H160" s="40">
        <v>0.5</v>
      </c>
      <c r="I160" s="40">
        <v>2.8</v>
      </c>
      <c r="J160" s="40">
        <v>1.4</v>
      </c>
      <c r="K160" s="40">
        <v>1.8</v>
      </c>
      <c r="L160" s="40">
        <v>4.2</v>
      </c>
      <c r="M160" s="40">
        <v>1.2</v>
      </c>
      <c r="N160" s="40">
        <v>-5</v>
      </c>
      <c r="O160" s="40">
        <v>1.6</v>
      </c>
      <c r="P160" s="40">
        <v>1.4</v>
      </c>
      <c r="Q160" s="40">
        <v>2.7</v>
      </c>
      <c r="R160" s="40">
        <v>1.7</v>
      </c>
      <c r="S160" s="40">
        <v>1.8</v>
      </c>
      <c r="T160" s="40">
        <v>-1.7</v>
      </c>
      <c r="U160" s="40">
        <v>-1.6</v>
      </c>
      <c r="V160" s="40">
        <v>6.4</v>
      </c>
      <c r="W160" s="40">
        <v>0.1</v>
      </c>
      <c r="X160" s="40">
        <v>5.5</v>
      </c>
      <c r="Y160" s="40">
        <v>-7.8</v>
      </c>
      <c r="Z160" s="40">
        <v>8.1</v>
      </c>
      <c r="AA160" s="40">
        <v>0.9</v>
      </c>
      <c r="AB160" s="40">
        <v>1.3</v>
      </c>
      <c r="AC160" s="40"/>
    </row>
    <row r="161" spans="1:29" x14ac:dyDescent="0.2">
      <c r="A161" s="45" t="s">
        <v>86</v>
      </c>
      <c r="B161" s="45" t="s">
        <v>147</v>
      </c>
      <c r="C161" s="45" t="s">
        <v>146</v>
      </c>
      <c r="D161" s="40">
        <v>0.2</v>
      </c>
      <c r="E161" s="40">
        <v>1.3</v>
      </c>
      <c r="F161" s="40">
        <v>-0.2</v>
      </c>
      <c r="G161" s="40">
        <v>3.3</v>
      </c>
      <c r="H161" s="40">
        <v>1.1000000000000001</v>
      </c>
      <c r="I161" s="40">
        <v>5.4</v>
      </c>
      <c r="J161" s="40">
        <v>3.1</v>
      </c>
      <c r="K161" s="40">
        <v>-4.8</v>
      </c>
      <c r="L161" s="40">
        <v>8.1</v>
      </c>
      <c r="M161" s="40">
        <v>3.5</v>
      </c>
      <c r="N161" s="40">
        <v>-5</v>
      </c>
      <c r="O161" s="40">
        <v>5.7</v>
      </c>
      <c r="P161" s="40">
        <v>2.5</v>
      </c>
      <c r="Q161" s="40">
        <v>-0.9</v>
      </c>
      <c r="R161" s="40">
        <v>5.2</v>
      </c>
      <c r="S161" s="40">
        <v>-0.4</v>
      </c>
      <c r="T161" s="40">
        <v>2.5</v>
      </c>
      <c r="U161" s="40">
        <v>-4.5</v>
      </c>
      <c r="V161" s="40">
        <v>7</v>
      </c>
      <c r="W161" s="40">
        <v>5.0999999999999996</v>
      </c>
      <c r="X161" s="40">
        <v>-2</v>
      </c>
      <c r="Y161" s="40">
        <v>-13.2</v>
      </c>
      <c r="Z161" s="40">
        <v>7.7</v>
      </c>
      <c r="AA161" s="40">
        <v>-3.9</v>
      </c>
      <c r="AB161" s="40">
        <v>-2.9</v>
      </c>
      <c r="AC161" s="40"/>
    </row>
    <row r="162" spans="1:29" x14ac:dyDescent="0.2">
      <c r="A162" s="45" t="s">
        <v>86</v>
      </c>
      <c r="B162" s="45" t="s">
        <v>145</v>
      </c>
      <c r="C162" s="45" t="s">
        <v>144</v>
      </c>
      <c r="D162" s="40">
        <v>1.2</v>
      </c>
      <c r="E162" s="40">
        <v>1.5</v>
      </c>
      <c r="F162" s="40">
        <v>0.1</v>
      </c>
      <c r="G162" s="40">
        <v>2.5</v>
      </c>
      <c r="H162" s="40">
        <v>0.7</v>
      </c>
      <c r="I162" s="40">
        <v>2.8</v>
      </c>
      <c r="J162" s="40">
        <v>-0.3</v>
      </c>
      <c r="K162" s="40">
        <v>2.6</v>
      </c>
      <c r="L162" s="40">
        <v>-2.1</v>
      </c>
      <c r="M162" s="40">
        <v>0.2</v>
      </c>
      <c r="N162" s="40">
        <v>-4.4000000000000004</v>
      </c>
      <c r="O162" s="40">
        <v>4.5</v>
      </c>
      <c r="P162" s="40">
        <v>3.2</v>
      </c>
      <c r="Q162" s="40">
        <v>0.9</v>
      </c>
      <c r="R162" s="40">
        <v>5.8</v>
      </c>
      <c r="S162" s="40">
        <v>1.7</v>
      </c>
      <c r="T162" s="40">
        <v>-0.8</v>
      </c>
      <c r="U162" s="40">
        <v>-2.5</v>
      </c>
      <c r="V162" s="40">
        <v>2.2999999999999998</v>
      </c>
      <c r="W162" s="40">
        <v>-1.4</v>
      </c>
      <c r="X162" s="40">
        <v>2.7</v>
      </c>
      <c r="Y162" s="40">
        <v>-10.1</v>
      </c>
      <c r="Z162" s="40">
        <v>8.3000000000000007</v>
      </c>
      <c r="AA162" s="40">
        <v>5.2</v>
      </c>
      <c r="AB162" s="40">
        <v>-2.1</v>
      </c>
      <c r="AC162" s="40"/>
    </row>
    <row r="163" spans="1:29" x14ac:dyDescent="0.2">
      <c r="A163" s="45" t="s">
        <v>86</v>
      </c>
      <c r="B163" s="45" t="s">
        <v>143</v>
      </c>
      <c r="C163" s="45" t="s">
        <v>142</v>
      </c>
      <c r="D163" s="40">
        <v>0.1</v>
      </c>
      <c r="E163" s="40">
        <v>4.9000000000000004</v>
      </c>
      <c r="F163" s="40">
        <v>4</v>
      </c>
      <c r="G163" s="40">
        <v>1.6</v>
      </c>
      <c r="H163" s="40">
        <v>0</v>
      </c>
      <c r="I163" s="40">
        <v>2.5</v>
      </c>
      <c r="J163" s="40">
        <v>2.2999999999999998</v>
      </c>
      <c r="K163" s="40">
        <v>2.9</v>
      </c>
      <c r="L163" s="40">
        <v>0.7</v>
      </c>
      <c r="M163" s="40">
        <v>-0.5</v>
      </c>
      <c r="N163" s="40">
        <v>-5.3</v>
      </c>
      <c r="O163" s="40">
        <v>5.8</v>
      </c>
      <c r="P163" s="40">
        <v>2.7</v>
      </c>
      <c r="Q163" s="40">
        <v>1.6</v>
      </c>
      <c r="R163" s="40">
        <v>1.8</v>
      </c>
      <c r="S163" s="40">
        <v>3</v>
      </c>
      <c r="T163" s="40">
        <v>-0.5</v>
      </c>
      <c r="U163" s="40">
        <v>0.9</v>
      </c>
      <c r="V163" s="40">
        <v>1.8</v>
      </c>
      <c r="W163" s="40">
        <v>-4.5</v>
      </c>
      <c r="X163" s="40">
        <v>1.1000000000000001</v>
      </c>
      <c r="Y163" s="40">
        <v>-8.4</v>
      </c>
      <c r="Z163" s="40">
        <v>5.9</v>
      </c>
      <c r="AA163" s="40">
        <v>1.2</v>
      </c>
      <c r="AB163" s="40">
        <v>-2.2999999999999998</v>
      </c>
      <c r="AC163" s="40"/>
    </row>
    <row r="164" spans="1:29" x14ac:dyDescent="0.2">
      <c r="A164" s="45" t="s">
        <v>86</v>
      </c>
      <c r="B164" s="45" t="s">
        <v>141</v>
      </c>
      <c r="C164" s="45" t="s">
        <v>140</v>
      </c>
      <c r="D164" s="40">
        <v>0.7</v>
      </c>
      <c r="E164" s="40">
        <v>4.9000000000000004</v>
      </c>
      <c r="F164" s="40">
        <v>1.2</v>
      </c>
      <c r="G164" s="40">
        <v>-0.1</v>
      </c>
      <c r="H164" s="40">
        <v>-0.1</v>
      </c>
      <c r="I164" s="40">
        <v>1.6</v>
      </c>
      <c r="J164" s="40">
        <v>1.7</v>
      </c>
      <c r="K164" s="40">
        <v>1.8</v>
      </c>
      <c r="L164" s="40">
        <v>0.6</v>
      </c>
      <c r="M164" s="40">
        <v>-1.3</v>
      </c>
      <c r="N164" s="40">
        <v>-3.5</v>
      </c>
      <c r="O164" s="40">
        <v>5.4</v>
      </c>
      <c r="P164" s="40">
        <v>1.1000000000000001</v>
      </c>
      <c r="Q164" s="40">
        <v>0.7</v>
      </c>
      <c r="R164" s="40">
        <v>0.7</v>
      </c>
      <c r="S164" s="40">
        <v>29.3</v>
      </c>
      <c r="T164" s="40">
        <v>4</v>
      </c>
      <c r="U164" s="40">
        <v>0.8</v>
      </c>
      <c r="V164" s="40">
        <v>2.5</v>
      </c>
      <c r="W164" s="40">
        <v>0.4</v>
      </c>
      <c r="X164" s="40">
        <v>2.2000000000000002</v>
      </c>
      <c r="Y164" s="40">
        <v>-10.7</v>
      </c>
      <c r="Z164" s="40">
        <v>7.3</v>
      </c>
      <c r="AA164" s="40">
        <v>0.7</v>
      </c>
      <c r="AB164" s="40">
        <v>-2.9</v>
      </c>
      <c r="AC164" s="40"/>
    </row>
    <row r="165" spans="1:29" x14ac:dyDescent="0.2">
      <c r="A165" s="45" t="s">
        <v>86</v>
      </c>
      <c r="B165" s="45" t="s">
        <v>139</v>
      </c>
      <c r="C165" s="45" t="s">
        <v>138</v>
      </c>
      <c r="D165" s="40">
        <v>1.2</v>
      </c>
      <c r="E165" s="40">
        <v>8.6</v>
      </c>
      <c r="F165" s="40">
        <v>3.4</v>
      </c>
      <c r="G165" s="40">
        <v>3.8</v>
      </c>
      <c r="H165" s="40">
        <v>0.2</v>
      </c>
      <c r="I165" s="40">
        <v>2.9</v>
      </c>
      <c r="J165" s="40">
        <v>2.6</v>
      </c>
      <c r="K165" s="40">
        <v>0</v>
      </c>
      <c r="L165" s="40">
        <v>4.8</v>
      </c>
      <c r="M165" s="40">
        <v>-0.1</v>
      </c>
      <c r="N165" s="40">
        <v>-3.2</v>
      </c>
      <c r="O165" s="40">
        <v>6.1</v>
      </c>
      <c r="P165" s="40">
        <v>1.5</v>
      </c>
      <c r="Q165" s="40">
        <v>-0.1</v>
      </c>
      <c r="R165" s="40">
        <v>2.5</v>
      </c>
      <c r="S165" s="40">
        <v>-0.2</v>
      </c>
      <c r="T165" s="40">
        <v>0.7</v>
      </c>
      <c r="U165" s="40">
        <v>1.2</v>
      </c>
      <c r="V165" s="40">
        <v>2.1</v>
      </c>
      <c r="W165" s="40">
        <v>4</v>
      </c>
      <c r="X165" s="40">
        <v>6.3</v>
      </c>
      <c r="Y165" s="40">
        <v>-7.4</v>
      </c>
      <c r="Z165" s="40">
        <v>4.3</v>
      </c>
      <c r="AA165" s="40">
        <v>-0.1</v>
      </c>
      <c r="AB165" s="40">
        <v>-1.9</v>
      </c>
      <c r="AC165" s="40"/>
    </row>
    <row r="166" spans="1:29" x14ac:dyDescent="0.2">
      <c r="A166" s="49" t="s">
        <v>87</v>
      </c>
      <c r="B166" s="49" t="s">
        <v>137</v>
      </c>
      <c r="C166" s="49" t="s">
        <v>136</v>
      </c>
      <c r="D166" s="48">
        <v>2.6</v>
      </c>
      <c r="E166" s="48">
        <v>0.9</v>
      </c>
      <c r="F166" s="48">
        <v>1.2</v>
      </c>
      <c r="G166" s="48">
        <v>0.2</v>
      </c>
      <c r="H166" s="48">
        <v>1.6</v>
      </c>
      <c r="I166" s="48">
        <v>1.8</v>
      </c>
      <c r="J166" s="48">
        <v>2.1</v>
      </c>
      <c r="K166" s="48">
        <v>-0.8</v>
      </c>
      <c r="L166" s="48">
        <v>-0.5</v>
      </c>
      <c r="M166" s="48">
        <v>0.7</v>
      </c>
      <c r="N166" s="48">
        <v>-7.7</v>
      </c>
      <c r="O166" s="48">
        <v>5</v>
      </c>
      <c r="P166" s="48">
        <v>1.9</v>
      </c>
      <c r="Q166" s="48">
        <v>0</v>
      </c>
      <c r="R166" s="48">
        <v>0.8</v>
      </c>
      <c r="S166" s="48">
        <v>1</v>
      </c>
      <c r="T166" s="48">
        <v>2.6</v>
      </c>
      <c r="U166" s="48">
        <v>1.7</v>
      </c>
      <c r="V166" s="48">
        <v>0.9</v>
      </c>
      <c r="W166" s="48">
        <v>0.7</v>
      </c>
      <c r="X166" s="48">
        <v>1.7</v>
      </c>
      <c r="Y166" s="48">
        <v>-8.3000000000000007</v>
      </c>
      <c r="Z166" s="48">
        <v>6.5</v>
      </c>
      <c r="AA166" s="48">
        <v>1.4</v>
      </c>
      <c r="AB166" s="48">
        <v>-2.2999999999999998</v>
      </c>
      <c r="AC166" s="40"/>
    </row>
    <row r="167" spans="1:29" x14ac:dyDescent="0.2">
      <c r="A167" s="45" t="s">
        <v>86</v>
      </c>
      <c r="B167" s="45" t="s">
        <v>135</v>
      </c>
      <c r="C167" s="45" t="s">
        <v>134</v>
      </c>
      <c r="D167" s="40">
        <v>3</v>
      </c>
      <c r="E167" s="40">
        <v>0.4</v>
      </c>
      <c r="F167" s="40">
        <v>4.2</v>
      </c>
      <c r="G167" s="40">
        <v>1.8</v>
      </c>
      <c r="H167" s="40">
        <v>2.7</v>
      </c>
      <c r="I167" s="40">
        <v>2.2000000000000002</v>
      </c>
      <c r="J167" s="40">
        <v>2.6</v>
      </c>
      <c r="K167" s="40">
        <v>2</v>
      </c>
      <c r="L167" s="40">
        <v>-0.3</v>
      </c>
      <c r="M167" s="40">
        <v>0</v>
      </c>
      <c r="N167" s="40">
        <v>-6.2</v>
      </c>
      <c r="O167" s="40">
        <v>4.5</v>
      </c>
      <c r="P167" s="40">
        <v>1.8</v>
      </c>
      <c r="Q167" s="40">
        <v>0.8</v>
      </c>
      <c r="R167" s="40">
        <v>1.1000000000000001</v>
      </c>
      <c r="S167" s="40">
        <v>-1.1000000000000001</v>
      </c>
      <c r="T167" s="40">
        <v>1.2</v>
      </c>
      <c r="U167" s="40">
        <v>2.6</v>
      </c>
      <c r="V167" s="40">
        <v>2.9</v>
      </c>
      <c r="W167" s="40">
        <v>0.3</v>
      </c>
      <c r="X167" s="40">
        <v>3.3</v>
      </c>
      <c r="Y167" s="40">
        <v>-5.5</v>
      </c>
      <c r="Z167" s="40">
        <v>4</v>
      </c>
      <c r="AA167" s="40">
        <v>3.7</v>
      </c>
      <c r="AB167" s="40">
        <v>-0.6</v>
      </c>
      <c r="AC167" s="40"/>
    </row>
    <row r="168" spans="1:29" x14ac:dyDescent="0.2">
      <c r="A168" s="45" t="s">
        <v>86</v>
      </c>
      <c r="B168" s="45" t="s">
        <v>133</v>
      </c>
      <c r="C168" s="45" t="s">
        <v>132</v>
      </c>
      <c r="D168" s="40">
        <v>2.4</v>
      </c>
      <c r="E168" s="40">
        <v>-1.1000000000000001</v>
      </c>
      <c r="F168" s="40">
        <v>2.5</v>
      </c>
      <c r="G168" s="40">
        <v>2.7</v>
      </c>
      <c r="H168" s="40">
        <v>2.2999999999999998</v>
      </c>
      <c r="I168" s="40">
        <v>0.7</v>
      </c>
      <c r="J168" s="40">
        <v>-0.8</v>
      </c>
      <c r="K168" s="40">
        <v>-1</v>
      </c>
      <c r="L168" s="40">
        <v>-0.9</v>
      </c>
      <c r="M168" s="40">
        <v>-0.4</v>
      </c>
      <c r="N168" s="40">
        <v>-10.5</v>
      </c>
      <c r="O168" s="40">
        <v>4.5</v>
      </c>
      <c r="P168" s="40">
        <v>1.5</v>
      </c>
      <c r="Q168" s="40">
        <v>0.3</v>
      </c>
      <c r="R168" s="40">
        <v>1.4</v>
      </c>
      <c r="S168" s="40">
        <v>2.7</v>
      </c>
      <c r="T168" s="40">
        <v>3</v>
      </c>
      <c r="U168" s="40">
        <v>3.7</v>
      </c>
      <c r="V168" s="40">
        <v>-3.8</v>
      </c>
      <c r="W168" s="40">
        <v>-0.1</v>
      </c>
      <c r="X168" s="40">
        <v>2</v>
      </c>
      <c r="Y168" s="40">
        <v>-8.3000000000000007</v>
      </c>
      <c r="Z168" s="40">
        <v>8.3000000000000007</v>
      </c>
      <c r="AA168" s="40">
        <v>-4.2</v>
      </c>
      <c r="AB168" s="40">
        <v>-2.5</v>
      </c>
      <c r="AC168" s="40"/>
    </row>
    <row r="169" spans="1:29" x14ac:dyDescent="0.2">
      <c r="A169" s="45" t="s">
        <v>86</v>
      </c>
      <c r="B169" s="45" t="s">
        <v>131</v>
      </c>
      <c r="C169" s="45" t="s">
        <v>130</v>
      </c>
      <c r="D169" s="40">
        <v>3.5</v>
      </c>
      <c r="E169" s="40">
        <v>2</v>
      </c>
      <c r="F169" s="40">
        <v>0.4</v>
      </c>
      <c r="G169" s="40">
        <v>-2.1</v>
      </c>
      <c r="H169" s="40">
        <v>1.5</v>
      </c>
      <c r="I169" s="40">
        <v>3.4</v>
      </c>
      <c r="J169" s="40">
        <v>1.9</v>
      </c>
      <c r="K169" s="40">
        <v>-2.6</v>
      </c>
      <c r="L169" s="40">
        <v>-2</v>
      </c>
      <c r="M169" s="40">
        <v>2.5</v>
      </c>
      <c r="N169" s="40">
        <v>-8</v>
      </c>
      <c r="O169" s="40">
        <v>4.5</v>
      </c>
      <c r="P169" s="40">
        <v>2.1</v>
      </c>
      <c r="Q169" s="40">
        <v>-1</v>
      </c>
      <c r="R169" s="40">
        <v>0.5</v>
      </c>
      <c r="S169" s="40">
        <v>0.4</v>
      </c>
      <c r="T169" s="40">
        <v>0.9</v>
      </c>
      <c r="U169" s="40">
        <v>-0.7</v>
      </c>
      <c r="V169" s="40">
        <v>2.8</v>
      </c>
      <c r="W169" s="40">
        <v>0.5</v>
      </c>
      <c r="X169" s="40">
        <v>-0.4</v>
      </c>
      <c r="Y169" s="40">
        <v>-11</v>
      </c>
      <c r="Z169" s="40">
        <v>8.1</v>
      </c>
      <c r="AA169" s="40">
        <v>6.3</v>
      </c>
      <c r="AB169" s="40">
        <v>-1.7</v>
      </c>
      <c r="AC169" s="40"/>
    </row>
    <row r="170" spans="1:29" x14ac:dyDescent="0.2">
      <c r="A170" s="45" t="s">
        <v>86</v>
      </c>
      <c r="B170" s="45" t="s">
        <v>129</v>
      </c>
      <c r="C170" s="45" t="s">
        <v>128</v>
      </c>
      <c r="D170" s="40">
        <v>1.7</v>
      </c>
      <c r="E170" s="40">
        <v>0.8</v>
      </c>
      <c r="F170" s="40">
        <v>1.2</v>
      </c>
      <c r="G170" s="40">
        <v>-0.3</v>
      </c>
      <c r="H170" s="40">
        <v>1.1000000000000001</v>
      </c>
      <c r="I170" s="40">
        <v>1.9</v>
      </c>
      <c r="J170" s="40">
        <v>1.1000000000000001</v>
      </c>
      <c r="K170" s="40">
        <v>0.9</v>
      </c>
      <c r="L170" s="40">
        <v>-0.3</v>
      </c>
      <c r="M170" s="40">
        <v>0</v>
      </c>
      <c r="N170" s="40">
        <v>-7.8</v>
      </c>
      <c r="O170" s="40">
        <v>3.4</v>
      </c>
      <c r="P170" s="40">
        <v>0.9</v>
      </c>
      <c r="Q170" s="40">
        <v>-0.2</v>
      </c>
      <c r="R170" s="40">
        <v>-0.1</v>
      </c>
      <c r="S170" s="40">
        <v>2.5</v>
      </c>
      <c r="T170" s="40">
        <v>1.4</v>
      </c>
      <c r="U170" s="40">
        <v>-0.2</v>
      </c>
      <c r="V170" s="40">
        <v>-0.1</v>
      </c>
      <c r="W170" s="40">
        <v>0.7</v>
      </c>
      <c r="X170" s="40">
        <v>3.7</v>
      </c>
      <c r="Y170" s="40">
        <v>-10</v>
      </c>
      <c r="Z170" s="40">
        <v>5.2</v>
      </c>
      <c r="AA170" s="40">
        <v>1.9</v>
      </c>
      <c r="AB170" s="40">
        <v>-2.4</v>
      </c>
      <c r="AC170" s="40"/>
    </row>
    <row r="171" spans="1:29" x14ac:dyDescent="0.2">
      <c r="A171" s="45" t="s">
        <v>86</v>
      </c>
      <c r="B171" s="45" t="s">
        <v>127</v>
      </c>
      <c r="C171" s="45" t="s">
        <v>126</v>
      </c>
      <c r="D171" s="40">
        <v>2.7</v>
      </c>
      <c r="E171" s="40">
        <v>1.8</v>
      </c>
      <c r="F171" s="40">
        <v>-0.2</v>
      </c>
      <c r="G171" s="40">
        <v>-0.3</v>
      </c>
      <c r="H171" s="40">
        <v>0.6</v>
      </c>
      <c r="I171" s="40">
        <v>1.3</v>
      </c>
      <c r="J171" s="40">
        <v>3.5</v>
      </c>
      <c r="K171" s="40">
        <v>-1.2</v>
      </c>
      <c r="L171" s="40">
        <v>0</v>
      </c>
      <c r="M171" s="40">
        <v>-0.6</v>
      </c>
      <c r="N171" s="40">
        <v>-6.5</v>
      </c>
      <c r="O171" s="40">
        <v>6</v>
      </c>
      <c r="P171" s="40">
        <v>1.1000000000000001</v>
      </c>
      <c r="Q171" s="40">
        <v>0.2</v>
      </c>
      <c r="R171" s="40">
        <v>1.6</v>
      </c>
      <c r="S171" s="40">
        <v>-0.2</v>
      </c>
      <c r="T171" s="40">
        <v>4.9000000000000004</v>
      </c>
      <c r="U171" s="40">
        <v>3.5</v>
      </c>
      <c r="V171" s="40">
        <v>2.4</v>
      </c>
      <c r="W171" s="40">
        <v>2.2000000000000002</v>
      </c>
      <c r="X171" s="40">
        <v>1.3</v>
      </c>
      <c r="Y171" s="40">
        <v>-6.5</v>
      </c>
      <c r="Z171" s="40">
        <v>5.2</v>
      </c>
      <c r="AA171" s="40">
        <v>-0.5</v>
      </c>
      <c r="AB171" s="40">
        <v>-2.5</v>
      </c>
      <c r="AC171" s="40"/>
    </row>
    <row r="172" spans="1:29" x14ac:dyDescent="0.2">
      <c r="A172" s="51" t="s">
        <v>88</v>
      </c>
      <c r="B172" s="51" t="s">
        <v>125</v>
      </c>
      <c r="C172" s="51" t="s">
        <v>124</v>
      </c>
      <c r="D172" s="50">
        <v>3.2</v>
      </c>
      <c r="E172" s="50">
        <v>2.9</v>
      </c>
      <c r="F172" s="50">
        <v>2.8</v>
      </c>
      <c r="G172" s="50">
        <v>0.7</v>
      </c>
      <c r="H172" s="50">
        <v>1.6</v>
      </c>
      <c r="I172" s="50">
        <v>1.8</v>
      </c>
      <c r="J172" s="50">
        <v>0.9</v>
      </c>
      <c r="K172" s="50">
        <v>1</v>
      </c>
      <c r="L172" s="50">
        <v>0.9</v>
      </c>
      <c r="M172" s="50">
        <v>-0.4</v>
      </c>
      <c r="N172" s="50">
        <v>-5.3</v>
      </c>
      <c r="O172" s="50">
        <v>4.0999999999999996</v>
      </c>
      <c r="P172" s="50">
        <v>0.7</v>
      </c>
      <c r="Q172" s="50">
        <v>0.5</v>
      </c>
      <c r="R172" s="50">
        <v>0.3</v>
      </c>
      <c r="S172" s="50">
        <v>3</v>
      </c>
      <c r="T172" s="50">
        <v>-0.5</v>
      </c>
      <c r="U172" s="50">
        <v>0.7</v>
      </c>
      <c r="V172" s="50">
        <v>2.8</v>
      </c>
      <c r="W172" s="50">
        <v>0.2</v>
      </c>
      <c r="X172" s="50">
        <v>1.3</v>
      </c>
      <c r="Y172" s="50">
        <v>-10.7</v>
      </c>
      <c r="Z172" s="50">
        <v>11.4</v>
      </c>
      <c r="AA172" s="50">
        <v>2.1</v>
      </c>
      <c r="AB172" s="50">
        <v>-1.7</v>
      </c>
      <c r="AC172" s="43"/>
    </row>
    <row r="173" spans="1:29" x14ac:dyDescent="0.2">
      <c r="A173" s="49" t="s">
        <v>87</v>
      </c>
      <c r="B173" s="49" t="s">
        <v>123</v>
      </c>
      <c r="C173" s="49" t="s">
        <v>121</v>
      </c>
      <c r="D173" s="48">
        <v>1.2</v>
      </c>
      <c r="E173" s="48">
        <v>2.6</v>
      </c>
      <c r="F173" s="48">
        <v>1.9</v>
      </c>
      <c r="G173" s="48">
        <v>3.2</v>
      </c>
      <c r="H173" s="48">
        <v>3.5</v>
      </c>
      <c r="I173" s="48">
        <v>0.2</v>
      </c>
      <c r="J173" s="48">
        <v>3.2</v>
      </c>
      <c r="K173" s="48">
        <v>2.9</v>
      </c>
      <c r="L173" s="48">
        <v>-2.6</v>
      </c>
      <c r="M173" s="48">
        <v>-0.5</v>
      </c>
      <c r="N173" s="48">
        <v>-6.1</v>
      </c>
      <c r="O173" s="48">
        <v>2</v>
      </c>
      <c r="P173" s="48">
        <v>2.8</v>
      </c>
      <c r="Q173" s="48">
        <v>0.9</v>
      </c>
      <c r="R173" s="48">
        <v>1.8</v>
      </c>
      <c r="S173" s="48">
        <v>1.5</v>
      </c>
      <c r="T173" s="48">
        <v>-1.4</v>
      </c>
      <c r="U173" s="48">
        <v>3</v>
      </c>
      <c r="V173" s="48">
        <v>5</v>
      </c>
      <c r="W173" s="48">
        <v>0.9</v>
      </c>
      <c r="X173" s="48">
        <v>1.2</v>
      </c>
      <c r="Y173" s="48">
        <v>-13.4</v>
      </c>
      <c r="Z173" s="48">
        <v>14.5</v>
      </c>
      <c r="AA173" s="48">
        <v>2.9</v>
      </c>
      <c r="AB173" s="48">
        <v>-3.3</v>
      </c>
      <c r="AC173" s="40"/>
    </row>
    <row r="174" spans="1:29" x14ac:dyDescent="0.2">
      <c r="A174" s="45" t="s">
        <v>86</v>
      </c>
      <c r="B174" s="45" t="s">
        <v>122</v>
      </c>
      <c r="C174" s="45" t="s">
        <v>121</v>
      </c>
      <c r="D174" s="40">
        <v>1.5</v>
      </c>
      <c r="E174" s="40">
        <v>2.7</v>
      </c>
      <c r="F174" s="40">
        <v>1.8</v>
      </c>
      <c r="G174" s="40">
        <v>3</v>
      </c>
      <c r="H174" s="40">
        <v>3.4</v>
      </c>
      <c r="I174" s="40">
        <v>0.3</v>
      </c>
      <c r="J174" s="40">
        <v>3.3</v>
      </c>
      <c r="K174" s="40">
        <v>2.8</v>
      </c>
      <c r="L174" s="40">
        <v>-2.8</v>
      </c>
      <c r="M174" s="40">
        <v>-0.7</v>
      </c>
      <c r="N174" s="40">
        <v>-6.5</v>
      </c>
      <c r="O174" s="40">
        <v>2.2000000000000002</v>
      </c>
      <c r="P174" s="40">
        <v>2.5</v>
      </c>
      <c r="Q174" s="40">
        <v>0.7</v>
      </c>
      <c r="R174" s="40">
        <v>1.8</v>
      </c>
      <c r="S174" s="40">
        <v>1.2</v>
      </c>
      <c r="T174" s="40">
        <v>-1.2</v>
      </c>
      <c r="U174" s="40">
        <v>2.9</v>
      </c>
      <c r="V174" s="40">
        <v>5</v>
      </c>
      <c r="W174" s="40">
        <v>0.9</v>
      </c>
      <c r="X174" s="40">
        <v>1.3</v>
      </c>
      <c r="Y174" s="40">
        <v>-13.4</v>
      </c>
      <c r="Z174" s="40">
        <v>14.3</v>
      </c>
      <c r="AA174" s="40">
        <v>3.1</v>
      </c>
      <c r="AB174" s="40">
        <v>-3.2</v>
      </c>
      <c r="AC174" s="40"/>
    </row>
    <row r="175" spans="1:29" x14ac:dyDescent="0.2">
      <c r="A175" s="49" t="s">
        <v>87</v>
      </c>
      <c r="B175" s="49" t="s">
        <v>120</v>
      </c>
      <c r="C175" s="49" t="s">
        <v>119</v>
      </c>
      <c r="D175" s="48">
        <v>3.2</v>
      </c>
      <c r="E175" s="48">
        <v>0.5</v>
      </c>
      <c r="F175" s="48">
        <v>2.2000000000000002</v>
      </c>
      <c r="G175" s="48">
        <v>1.1000000000000001</v>
      </c>
      <c r="H175" s="48">
        <v>1.8</v>
      </c>
      <c r="I175" s="48">
        <v>4.7</v>
      </c>
      <c r="J175" s="48">
        <v>0.1</v>
      </c>
      <c r="K175" s="48">
        <v>2.5</v>
      </c>
      <c r="L175" s="48">
        <v>-2.7</v>
      </c>
      <c r="M175" s="48">
        <v>-1.6</v>
      </c>
      <c r="N175" s="48">
        <v>-4.3</v>
      </c>
      <c r="O175" s="48">
        <v>5.2</v>
      </c>
      <c r="P175" s="48">
        <v>1.3</v>
      </c>
      <c r="Q175" s="48">
        <v>0.4</v>
      </c>
      <c r="R175" s="48">
        <v>1.8</v>
      </c>
      <c r="S175" s="48">
        <v>1.4</v>
      </c>
      <c r="T175" s="48">
        <v>0.7</v>
      </c>
      <c r="U175" s="48">
        <v>0.7</v>
      </c>
      <c r="V175" s="48">
        <v>2.2000000000000002</v>
      </c>
      <c r="W175" s="48">
        <v>-0.8</v>
      </c>
      <c r="X175" s="48">
        <v>0.8</v>
      </c>
      <c r="Y175" s="48">
        <v>-13.8</v>
      </c>
      <c r="Z175" s="48">
        <v>17.100000000000001</v>
      </c>
      <c r="AA175" s="48">
        <v>2.5</v>
      </c>
      <c r="AB175" s="48">
        <v>-2.7</v>
      </c>
      <c r="AC175" s="40"/>
    </row>
    <row r="176" spans="1:29" x14ac:dyDescent="0.2">
      <c r="A176" s="45" t="s">
        <v>86</v>
      </c>
      <c r="B176" s="45" t="s">
        <v>118</v>
      </c>
      <c r="C176" s="45" t="s">
        <v>117</v>
      </c>
      <c r="D176" s="40">
        <v>5</v>
      </c>
      <c r="E176" s="40">
        <v>0.2</v>
      </c>
      <c r="F176" s="40">
        <v>4.5999999999999996</v>
      </c>
      <c r="G176" s="40">
        <v>-0.3</v>
      </c>
      <c r="H176" s="40">
        <v>2.2000000000000002</v>
      </c>
      <c r="I176" s="40">
        <v>6.5</v>
      </c>
      <c r="J176" s="40">
        <v>-2.2000000000000002</v>
      </c>
      <c r="K176" s="40">
        <v>3.6</v>
      </c>
      <c r="L176" s="40">
        <v>-3</v>
      </c>
      <c r="M176" s="40">
        <v>-1.5</v>
      </c>
      <c r="N176" s="40">
        <v>-5.2</v>
      </c>
      <c r="O176" s="40">
        <v>3.6</v>
      </c>
      <c r="P176" s="40">
        <v>2.2000000000000002</v>
      </c>
      <c r="Q176" s="40">
        <v>-1</v>
      </c>
      <c r="R176" s="40">
        <v>0.3</v>
      </c>
      <c r="S176" s="40">
        <v>0.4</v>
      </c>
      <c r="T176" s="40">
        <v>0.3</v>
      </c>
      <c r="U176" s="40">
        <v>1.8</v>
      </c>
      <c r="V176" s="40">
        <v>1.2</v>
      </c>
      <c r="W176" s="40">
        <v>0.8</v>
      </c>
      <c r="X176" s="40">
        <v>0.6</v>
      </c>
      <c r="Y176" s="40">
        <v>-14.4</v>
      </c>
      <c r="Z176" s="40">
        <v>17.899999999999999</v>
      </c>
      <c r="AA176" s="40">
        <v>1.4</v>
      </c>
      <c r="AB176" s="40">
        <v>-2.4</v>
      </c>
      <c r="AC176" s="40"/>
    </row>
    <row r="177" spans="1:29" x14ac:dyDescent="0.2">
      <c r="A177" s="45" t="s">
        <v>86</v>
      </c>
      <c r="B177" s="45" t="s">
        <v>116</v>
      </c>
      <c r="C177" s="45" t="s">
        <v>115</v>
      </c>
      <c r="D177" s="40">
        <v>1.9</v>
      </c>
      <c r="E177" s="40">
        <v>-1</v>
      </c>
      <c r="F177" s="40">
        <v>0.6</v>
      </c>
      <c r="G177" s="40">
        <v>-0.8</v>
      </c>
      <c r="H177" s="40">
        <v>0.5</v>
      </c>
      <c r="I177" s="40">
        <v>6.7</v>
      </c>
      <c r="J177" s="40">
        <v>0.5</v>
      </c>
      <c r="K177" s="40">
        <v>2.5</v>
      </c>
      <c r="L177" s="40">
        <v>-2.5</v>
      </c>
      <c r="M177" s="40">
        <v>-2.7</v>
      </c>
      <c r="N177" s="40">
        <v>-5.8</v>
      </c>
      <c r="O177" s="40">
        <v>4.5999999999999996</v>
      </c>
      <c r="P177" s="40">
        <v>0.1</v>
      </c>
      <c r="Q177" s="40">
        <v>-1</v>
      </c>
      <c r="R177" s="40">
        <v>1.3</v>
      </c>
      <c r="S177" s="40">
        <v>-1.8</v>
      </c>
      <c r="T177" s="40">
        <v>-2.6</v>
      </c>
      <c r="U177" s="40">
        <v>-1.4</v>
      </c>
      <c r="V177" s="40">
        <v>-1.3</v>
      </c>
      <c r="W177" s="40">
        <v>-4.3</v>
      </c>
      <c r="X177" s="40">
        <v>0.5</v>
      </c>
      <c r="Y177" s="40">
        <v>-16.2</v>
      </c>
      <c r="Z177" s="40">
        <v>20.6</v>
      </c>
      <c r="AA177" s="40">
        <v>2</v>
      </c>
      <c r="AB177" s="40">
        <v>-2.4</v>
      </c>
      <c r="AC177" s="40"/>
    </row>
    <row r="178" spans="1:29" x14ac:dyDescent="0.2">
      <c r="A178" s="45" t="s">
        <v>86</v>
      </c>
      <c r="B178" s="45" t="s">
        <v>114</v>
      </c>
      <c r="C178" s="45" t="s">
        <v>113</v>
      </c>
      <c r="D178" s="40">
        <v>3.3</v>
      </c>
      <c r="E178" s="40">
        <v>0.9</v>
      </c>
      <c r="F178" s="40">
        <v>2</v>
      </c>
      <c r="G178" s="40">
        <v>1.5</v>
      </c>
      <c r="H178" s="40">
        <v>1.6</v>
      </c>
      <c r="I178" s="40">
        <v>4</v>
      </c>
      <c r="J178" s="40">
        <v>0.3</v>
      </c>
      <c r="K178" s="40">
        <v>2.4</v>
      </c>
      <c r="L178" s="40">
        <v>-2.6</v>
      </c>
      <c r="M178" s="40">
        <v>-1.8</v>
      </c>
      <c r="N178" s="40">
        <v>-4.5999999999999996</v>
      </c>
      <c r="O178" s="40">
        <v>5.5</v>
      </c>
      <c r="P178" s="40">
        <v>1.4</v>
      </c>
      <c r="Q178" s="40">
        <v>0.2</v>
      </c>
      <c r="R178" s="40">
        <v>2</v>
      </c>
      <c r="S178" s="40">
        <v>2.1</v>
      </c>
      <c r="T178" s="40">
        <v>1.4</v>
      </c>
      <c r="U178" s="40">
        <v>0.3</v>
      </c>
      <c r="V178" s="40">
        <v>2.7</v>
      </c>
      <c r="W178" s="40">
        <v>-0.7</v>
      </c>
      <c r="X178" s="40">
        <v>0.5</v>
      </c>
      <c r="Y178" s="40">
        <v>-13.3</v>
      </c>
      <c r="Z178" s="40">
        <v>16.3</v>
      </c>
      <c r="AA178" s="40">
        <v>2.2000000000000002</v>
      </c>
      <c r="AB178" s="40">
        <v>-2.7</v>
      </c>
      <c r="AC178" s="40"/>
    </row>
    <row r="179" spans="1:29" x14ac:dyDescent="0.2">
      <c r="A179" s="49" t="s">
        <v>87</v>
      </c>
      <c r="B179" s="49" t="s">
        <v>112</v>
      </c>
      <c r="C179" s="49" t="s">
        <v>111</v>
      </c>
      <c r="D179" s="48">
        <v>3.2</v>
      </c>
      <c r="E179" s="48">
        <v>5.2</v>
      </c>
      <c r="F179" s="48">
        <v>5.0999999999999996</v>
      </c>
      <c r="G179" s="48">
        <v>1.8</v>
      </c>
      <c r="H179" s="48">
        <v>1.9</v>
      </c>
      <c r="I179" s="48">
        <v>1.8</v>
      </c>
      <c r="J179" s="48">
        <v>-0.5</v>
      </c>
      <c r="K179" s="48">
        <v>0.8</v>
      </c>
      <c r="L179" s="48">
        <v>4.2</v>
      </c>
      <c r="M179" s="48">
        <v>0.6</v>
      </c>
      <c r="N179" s="48">
        <v>-5</v>
      </c>
      <c r="O179" s="48">
        <v>4.5999999999999996</v>
      </c>
      <c r="P179" s="48">
        <v>0</v>
      </c>
      <c r="Q179" s="48">
        <v>1.9</v>
      </c>
      <c r="R179" s="48">
        <v>-1.6</v>
      </c>
      <c r="S179" s="48">
        <v>3.7</v>
      </c>
      <c r="T179" s="48">
        <v>-0.4</v>
      </c>
      <c r="U179" s="48">
        <v>1.8</v>
      </c>
      <c r="V179" s="48">
        <v>2.4</v>
      </c>
      <c r="W179" s="48">
        <v>-1.6</v>
      </c>
      <c r="X179" s="48">
        <v>2.1</v>
      </c>
      <c r="Y179" s="48">
        <v>-9.4</v>
      </c>
      <c r="Z179" s="48">
        <v>13</v>
      </c>
      <c r="AA179" s="48">
        <v>1.6</v>
      </c>
      <c r="AB179" s="48">
        <v>0.7</v>
      </c>
      <c r="AC179" s="40"/>
    </row>
    <row r="180" spans="1:29" x14ac:dyDescent="0.2">
      <c r="A180" s="45" t="s">
        <v>86</v>
      </c>
      <c r="B180" s="45" t="s">
        <v>110</v>
      </c>
      <c r="C180" s="45" t="s">
        <v>109</v>
      </c>
      <c r="D180" s="40">
        <v>1.9</v>
      </c>
      <c r="E180" s="40">
        <v>4.2</v>
      </c>
      <c r="F180" s="40">
        <v>5.0999999999999996</v>
      </c>
      <c r="G180" s="40">
        <v>0.7</v>
      </c>
      <c r="H180" s="40">
        <v>0.8</v>
      </c>
      <c r="I180" s="40">
        <v>1.9</v>
      </c>
      <c r="J180" s="40">
        <v>-2.6</v>
      </c>
      <c r="K180" s="40">
        <v>0.6</v>
      </c>
      <c r="L180" s="40">
        <v>4.3</v>
      </c>
      <c r="M180" s="40">
        <v>0.4</v>
      </c>
      <c r="N180" s="40">
        <v>-4.3</v>
      </c>
      <c r="O180" s="40">
        <v>3.4</v>
      </c>
      <c r="P180" s="40">
        <v>-1.6</v>
      </c>
      <c r="Q180" s="40">
        <v>1.8</v>
      </c>
      <c r="R180" s="40">
        <v>-1.6</v>
      </c>
      <c r="S180" s="40">
        <v>1.2</v>
      </c>
      <c r="T180" s="40">
        <v>0.7</v>
      </c>
      <c r="U180" s="40">
        <v>2.9</v>
      </c>
      <c r="V180" s="40">
        <v>4</v>
      </c>
      <c r="W180" s="40">
        <v>-4</v>
      </c>
      <c r="X180" s="40">
        <v>1.8</v>
      </c>
      <c r="Y180" s="40">
        <v>-12</v>
      </c>
      <c r="Z180" s="40">
        <v>16.5</v>
      </c>
      <c r="AA180" s="40">
        <v>1.4</v>
      </c>
      <c r="AB180" s="40">
        <v>0.4</v>
      </c>
      <c r="AC180" s="40"/>
    </row>
    <row r="181" spans="1:29" x14ac:dyDescent="0.2">
      <c r="A181" s="45" t="s">
        <v>86</v>
      </c>
      <c r="B181" s="45" t="s">
        <v>108</v>
      </c>
      <c r="C181" s="45" t="s">
        <v>107</v>
      </c>
      <c r="D181" s="40">
        <v>4.3</v>
      </c>
      <c r="E181" s="40">
        <v>6.1</v>
      </c>
      <c r="F181" s="40">
        <v>5</v>
      </c>
      <c r="G181" s="40">
        <v>2.7</v>
      </c>
      <c r="H181" s="40">
        <v>3</v>
      </c>
      <c r="I181" s="40">
        <v>1.7</v>
      </c>
      <c r="J181" s="40">
        <v>1.4</v>
      </c>
      <c r="K181" s="40">
        <v>1</v>
      </c>
      <c r="L181" s="40">
        <v>4.0999999999999996</v>
      </c>
      <c r="M181" s="40">
        <v>0.8</v>
      </c>
      <c r="N181" s="40">
        <v>-5.5</v>
      </c>
      <c r="O181" s="40">
        <v>5.9</v>
      </c>
      <c r="P181" s="40">
        <v>1.6</v>
      </c>
      <c r="Q181" s="40">
        <v>2.1</v>
      </c>
      <c r="R181" s="40">
        <v>-1.7</v>
      </c>
      <c r="S181" s="40">
        <v>6</v>
      </c>
      <c r="T181" s="40">
        <v>-1.3</v>
      </c>
      <c r="U181" s="40">
        <v>0.7</v>
      </c>
      <c r="V181" s="40">
        <v>0.9</v>
      </c>
      <c r="W181" s="40">
        <v>0.8</v>
      </c>
      <c r="X181" s="40">
        <v>2.4</v>
      </c>
      <c r="Y181" s="40">
        <v>-7</v>
      </c>
      <c r="Z181" s="40">
        <v>9.6</v>
      </c>
      <c r="AA181" s="40">
        <v>1.8</v>
      </c>
      <c r="AB181" s="40">
        <v>1.1000000000000001</v>
      </c>
      <c r="AC181" s="40"/>
    </row>
    <row r="182" spans="1:29" x14ac:dyDescent="0.2">
      <c r="A182" s="49" t="s">
        <v>87</v>
      </c>
      <c r="B182" s="49" t="s">
        <v>106</v>
      </c>
      <c r="C182" s="49" t="s">
        <v>105</v>
      </c>
      <c r="D182" s="48">
        <v>4.0999999999999996</v>
      </c>
      <c r="E182" s="48">
        <v>3</v>
      </c>
      <c r="F182" s="48">
        <v>-0.2</v>
      </c>
      <c r="G182" s="48">
        <v>-0.5</v>
      </c>
      <c r="H182" s="48">
        <v>1</v>
      </c>
      <c r="I182" s="48">
        <v>1.7</v>
      </c>
      <c r="J182" s="48">
        <v>1.5</v>
      </c>
      <c r="K182" s="48">
        <v>1.5</v>
      </c>
      <c r="L182" s="48">
        <v>-1.5</v>
      </c>
      <c r="M182" s="48">
        <v>-0.8</v>
      </c>
      <c r="N182" s="48">
        <v>-5.5</v>
      </c>
      <c r="O182" s="48">
        <v>2</v>
      </c>
      <c r="P182" s="48">
        <v>0.4</v>
      </c>
      <c r="Q182" s="48">
        <v>-1</v>
      </c>
      <c r="R182" s="48">
        <v>0.5</v>
      </c>
      <c r="S182" s="48">
        <v>2.6</v>
      </c>
      <c r="T182" s="48">
        <v>-0.9</v>
      </c>
      <c r="U182" s="48">
        <v>1</v>
      </c>
      <c r="V182" s="48">
        <v>3.8</v>
      </c>
      <c r="W182" s="48">
        <v>0.4</v>
      </c>
      <c r="X182" s="48">
        <v>1.3</v>
      </c>
      <c r="Y182" s="48">
        <v>-8.9</v>
      </c>
      <c r="Z182" s="48">
        <v>8</v>
      </c>
      <c r="AA182" s="48">
        <v>2.4</v>
      </c>
      <c r="AB182" s="48">
        <v>-0.9</v>
      </c>
      <c r="AC182" s="40"/>
    </row>
    <row r="183" spans="1:29" x14ac:dyDescent="0.2">
      <c r="A183" s="45" t="s">
        <v>86</v>
      </c>
      <c r="B183" s="45" t="s">
        <v>104</v>
      </c>
      <c r="C183" s="45" t="s">
        <v>103</v>
      </c>
      <c r="D183" s="40">
        <v>2.2000000000000002</v>
      </c>
      <c r="E183" s="40">
        <v>2.2000000000000002</v>
      </c>
      <c r="F183" s="40">
        <v>1.3</v>
      </c>
      <c r="G183" s="40">
        <v>0.5</v>
      </c>
      <c r="H183" s="40">
        <v>0.9</v>
      </c>
      <c r="I183" s="40">
        <v>2.7</v>
      </c>
      <c r="J183" s="40">
        <v>-1</v>
      </c>
      <c r="K183" s="40">
        <v>1.1000000000000001</v>
      </c>
      <c r="L183" s="40">
        <v>-0.4</v>
      </c>
      <c r="M183" s="40">
        <v>-2.4</v>
      </c>
      <c r="N183" s="40">
        <v>-6</v>
      </c>
      <c r="O183" s="40">
        <v>3.6</v>
      </c>
      <c r="P183" s="40">
        <v>1.7</v>
      </c>
      <c r="Q183" s="40">
        <v>1.2</v>
      </c>
      <c r="R183" s="40">
        <v>2.2999999999999998</v>
      </c>
      <c r="S183" s="40">
        <v>2.7</v>
      </c>
      <c r="T183" s="40">
        <v>-1.7</v>
      </c>
      <c r="U183" s="40">
        <v>3.2</v>
      </c>
      <c r="V183" s="40">
        <v>-0.5</v>
      </c>
      <c r="W183" s="40">
        <v>1.7</v>
      </c>
      <c r="X183" s="40">
        <v>1.1000000000000001</v>
      </c>
      <c r="Y183" s="40">
        <v>-9.3000000000000007</v>
      </c>
      <c r="Z183" s="40">
        <v>12.6</v>
      </c>
      <c r="AA183" s="40">
        <v>4.5999999999999996</v>
      </c>
      <c r="AB183" s="40">
        <v>0.5</v>
      </c>
      <c r="AC183" s="40"/>
    </row>
    <row r="184" spans="1:29" x14ac:dyDescent="0.2">
      <c r="A184" s="45" t="s">
        <v>86</v>
      </c>
      <c r="B184" s="45" t="s">
        <v>102</v>
      </c>
      <c r="C184" s="45" t="s">
        <v>101</v>
      </c>
      <c r="D184" s="40">
        <v>4.4000000000000004</v>
      </c>
      <c r="E184" s="40">
        <v>3.7</v>
      </c>
      <c r="F184" s="40">
        <v>-0.9</v>
      </c>
      <c r="G184" s="40">
        <v>0.1</v>
      </c>
      <c r="H184" s="40">
        <v>0.8</v>
      </c>
      <c r="I184" s="40">
        <v>2.2000000000000002</v>
      </c>
      <c r="J184" s="40">
        <v>2.2999999999999998</v>
      </c>
      <c r="K184" s="40">
        <v>2.4</v>
      </c>
      <c r="L184" s="40">
        <v>-3</v>
      </c>
      <c r="M184" s="40">
        <v>-1.3</v>
      </c>
      <c r="N184" s="40">
        <v>-5.2</v>
      </c>
      <c r="O184" s="40">
        <v>2.2999999999999998</v>
      </c>
      <c r="P184" s="40">
        <v>1.6</v>
      </c>
      <c r="Q184" s="40">
        <v>-1.8</v>
      </c>
      <c r="R184" s="40">
        <v>-1</v>
      </c>
      <c r="S184" s="40">
        <v>4.2</v>
      </c>
      <c r="T184" s="40">
        <v>-1.3</v>
      </c>
      <c r="U184" s="40">
        <v>-0.3</v>
      </c>
      <c r="V184" s="40">
        <v>4.5999999999999996</v>
      </c>
      <c r="W184" s="40">
        <v>1.6</v>
      </c>
      <c r="X184" s="40">
        <v>0.5</v>
      </c>
      <c r="Y184" s="40">
        <v>-8.4</v>
      </c>
      <c r="Z184" s="40">
        <v>5.7</v>
      </c>
      <c r="AA184" s="40">
        <v>2.1</v>
      </c>
      <c r="AB184" s="40">
        <v>0.4</v>
      </c>
      <c r="AC184" s="40"/>
    </row>
    <row r="185" spans="1:29" x14ac:dyDescent="0.2">
      <c r="A185" s="45" t="s">
        <v>86</v>
      </c>
      <c r="B185" s="45" t="s">
        <v>100</v>
      </c>
      <c r="C185" s="45" t="s">
        <v>99</v>
      </c>
      <c r="D185" s="40">
        <v>4.5</v>
      </c>
      <c r="E185" s="40">
        <v>3.9</v>
      </c>
      <c r="F185" s="40">
        <v>1.2</v>
      </c>
      <c r="G185" s="40">
        <v>-1.1000000000000001</v>
      </c>
      <c r="H185" s="40">
        <v>3</v>
      </c>
      <c r="I185" s="40">
        <v>1.7</v>
      </c>
      <c r="J185" s="40">
        <v>2</v>
      </c>
      <c r="K185" s="40">
        <v>0.9</v>
      </c>
      <c r="L185" s="40">
        <v>0.9</v>
      </c>
      <c r="M185" s="40">
        <v>0.2</v>
      </c>
      <c r="N185" s="40">
        <v>-6.9</v>
      </c>
      <c r="O185" s="40">
        <v>-0.2</v>
      </c>
      <c r="P185" s="40">
        <v>-0.8</v>
      </c>
      <c r="Q185" s="40">
        <v>-0.8</v>
      </c>
      <c r="R185" s="40">
        <v>2.5</v>
      </c>
      <c r="S185" s="40">
        <v>0.2</v>
      </c>
      <c r="T185" s="40">
        <v>-0.3</v>
      </c>
      <c r="U185" s="40">
        <v>2.9</v>
      </c>
      <c r="V185" s="40">
        <v>5.9</v>
      </c>
      <c r="W185" s="40">
        <v>-1.8</v>
      </c>
      <c r="X185" s="40">
        <v>2.1</v>
      </c>
      <c r="Y185" s="40">
        <v>-9.9</v>
      </c>
      <c r="Z185" s="40">
        <v>9.5</v>
      </c>
      <c r="AA185" s="40">
        <v>1.7</v>
      </c>
      <c r="AB185" s="40">
        <v>-0.7</v>
      </c>
      <c r="AC185" s="40"/>
    </row>
    <row r="186" spans="1:29" x14ac:dyDescent="0.2">
      <c r="A186" s="45" t="s">
        <v>86</v>
      </c>
      <c r="B186" s="45" t="s">
        <v>98</v>
      </c>
      <c r="C186" s="45" t="s">
        <v>97</v>
      </c>
      <c r="D186" s="40">
        <v>4.3</v>
      </c>
      <c r="E186" s="40">
        <v>1.2</v>
      </c>
      <c r="F186" s="40">
        <v>-1.3</v>
      </c>
      <c r="G186" s="40">
        <v>-1.1000000000000001</v>
      </c>
      <c r="H186" s="40">
        <v>-1</v>
      </c>
      <c r="I186" s="40">
        <v>0.6</v>
      </c>
      <c r="J186" s="40">
        <v>1</v>
      </c>
      <c r="K186" s="40">
        <v>1</v>
      </c>
      <c r="L186" s="40">
        <v>-3</v>
      </c>
      <c r="M186" s="40">
        <v>-0.5</v>
      </c>
      <c r="N186" s="40">
        <v>-3.8</v>
      </c>
      <c r="O186" s="40">
        <v>3.1</v>
      </c>
      <c r="P186" s="40">
        <v>-0.9</v>
      </c>
      <c r="Q186" s="40">
        <v>-1.2</v>
      </c>
      <c r="R186" s="40">
        <v>-0.5</v>
      </c>
      <c r="S186" s="40">
        <v>3.3</v>
      </c>
      <c r="T186" s="40">
        <v>-0.6</v>
      </c>
      <c r="U186" s="40">
        <v>-0.6</v>
      </c>
      <c r="V186" s="40">
        <v>2.2000000000000002</v>
      </c>
      <c r="W186" s="40">
        <v>1</v>
      </c>
      <c r="X186" s="40">
        <v>1.5</v>
      </c>
      <c r="Y186" s="40">
        <v>-8.1999999999999993</v>
      </c>
      <c r="Z186" s="40">
        <v>7.4</v>
      </c>
      <c r="AA186" s="40">
        <v>2.7</v>
      </c>
      <c r="AB186" s="40">
        <v>-3.9</v>
      </c>
      <c r="AC186" s="40"/>
    </row>
    <row r="187" spans="1:29" x14ac:dyDescent="0.2">
      <c r="A187" s="49" t="s">
        <v>87</v>
      </c>
      <c r="B187" s="49" t="s">
        <v>96</v>
      </c>
      <c r="C187" s="49" t="s">
        <v>95</v>
      </c>
      <c r="D187" s="48">
        <v>3.5</v>
      </c>
      <c r="E187" s="48">
        <v>3.7</v>
      </c>
      <c r="F187" s="48">
        <v>5.0999999999999996</v>
      </c>
      <c r="G187" s="48">
        <v>0</v>
      </c>
      <c r="H187" s="48">
        <v>1.2</v>
      </c>
      <c r="I187" s="48">
        <v>0.5</v>
      </c>
      <c r="J187" s="48">
        <v>0.9</v>
      </c>
      <c r="K187" s="48">
        <v>-0.2</v>
      </c>
      <c r="L187" s="48">
        <v>3.8</v>
      </c>
      <c r="M187" s="48">
        <v>-0.7</v>
      </c>
      <c r="N187" s="48">
        <v>-6</v>
      </c>
      <c r="O187" s="48">
        <v>5.2</v>
      </c>
      <c r="P187" s="48">
        <v>-0.6</v>
      </c>
      <c r="Q187" s="48">
        <v>-0.1</v>
      </c>
      <c r="R187" s="48">
        <v>0.2</v>
      </c>
      <c r="S187" s="48">
        <v>3.9</v>
      </c>
      <c r="T187" s="48">
        <v>-0.4</v>
      </c>
      <c r="U187" s="48">
        <v>-0.7</v>
      </c>
      <c r="V187" s="48">
        <v>2.2000000000000002</v>
      </c>
      <c r="W187" s="48">
        <v>1.5</v>
      </c>
      <c r="X187" s="48">
        <v>1.4</v>
      </c>
      <c r="Y187" s="48">
        <v>-10.5</v>
      </c>
      <c r="Z187" s="48">
        <v>8.6999999999999993</v>
      </c>
      <c r="AA187" s="48">
        <v>2</v>
      </c>
      <c r="AB187" s="48">
        <v>-3.1</v>
      </c>
      <c r="AC187" s="40"/>
    </row>
    <row r="188" spans="1:29" x14ac:dyDescent="0.2">
      <c r="A188" s="45" t="s">
        <v>86</v>
      </c>
      <c r="B188" s="45" t="s">
        <v>94</v>
      </c>
      <c r="C188" s="45" t="s">
        <v>93</v>
      </c>
      <c r="D188" s="40">
        <v>5</v>
      </c>
      <c r="E188" s="40">
        <v>3.4</v>
      </c>
      <c r="F188" s="40">
        <v>10.5</v>
      </c>
      <c r="G188" s="40">
        <v>0.4</v>
      </c>
      <c r="H188" s="40">
        <v>4.3</v>
      </c>
      <c r="I188" s="40">
        <v>0</v>
      </c>
      <c r="J188" s="40">
        <v>-0.7</v>
      </c>
      <c r="K188" s="40">
        <v>3.1</v>
      </c>
      <c r="L188" s="40">
        <v>4</v>
      </c>
      <c r="M188" s="40">
        <v>-0.7</v>
      </c>
      <c r="N188" s="40">
        <v>-8</v>
      </c>
      <c r="O188" s="40">
        <v>0.7</v>
      </c>
      <c r="P188" s="40">
        <v>-2.2000000000000002</v>
      </c>
      <c r="Q188" s="40">
        <v>-3.3</v>
      </c>
      <c r="R188" s="40">
        <v>-0.7</v>
      </c>
      <c r="S188" s="40">
        <v>5.7</v>
      </c>
      <c r="T188" s="40">
        <v>3.1</v>
      </c>
      <c r="U188" s="40">
        <v>-2.2999999999999998</v>
      </c>
      <c r="V188" s="40">
        <v>-0.6</v>
      </c>
      <c r="W188" s="40">
        <v>4.0999999999999996</v>
      </c>
      <c r="X188" s="40">
        <v>-0.2</v>
      </c>
      <c r="Y188" s="40">
        <v>-12.2</v>
      </c>
      <c r="Z188" s="40">
        <v>5.8</v>
      </c>
      <c r="AA188" s="40">
        <v>9.1999999999999993</v>
      </c>
      <c r="AB188" s="40">
        <v>-4.4000000000000004</v>
      </c>
      <c r="AC188" s="40"/>
    </row>
    <row r="189" spans="1:29" x14ac:dyDescent="0.2">
      <c r="A189" s="45" t="s">
        <v>86</v>
      </c>
      <c r="B189" s="45" t="s">
        <v>92</v>
      </c>
      <c r="C189" s="45" t="s">
        <v>91</v>
      </c>
      <c r="D189" s="40">
        <v>3.6</v>
      </c>
      <c r="E189" s="40">
        <v>3.4</v>
      </c>
      <c r="F189" s="40">
        <v>3.7</v>
      </c>
      <c r="G189" s="40">
        <v>-0.3</v>
      </c>
      <c r="H189" s="40">
        <v>-0.1</v>
      </c>
      <c r="I189" s="40">
        <v>1</v>
      </c>
      <c r="J189" s="40">
        <v>0</v>
      </c>
      <c r="K189" s="40">
        <v>-0.8</v>
      </c>
      <c r="L189" s="40">
        <v>2.1</v>
      </c>
      <c r="M189" s="40">
        <v>-0.9</v>
      </c>
      <c r="N189" s="40">
        <v>-5.4</v>
      </c>
      <c r="O189" s="40">
        <v>6.4</v>
      </c>
      <c r="P189" s="40">
        <v>1.6</v>
      </c>
      <c r="Q189" s="40">
        <v>1.8</v>
      </c>
      <c r="R189" s="40">
        <v>-0.1</v>
      </c>
      <c r="S189" s="40">
        <v>3.9</v>
      </c>
      <c r="T189" s="40">
        <v>-2.5</v>
      </c>
      <c r="U189" s="40">
        <v>0</v>
      </c>
      <c r="V189" s="40">
        <v>0.4</v>
      </c>
      <c r="W189" s="40">
        <v>0.8</v>
      </c>
      <c r="X189" s="40">
        <v>0.6</v>
      </c>
      <c r="Y189" s="40">
        <v>-10.4</v>
      </c>
      <c r="Z189" s="40">
        <v>10.4</v>
      </c>
      <c r="AA189" s="40">
        <v>2.4</v>
      </c>
      <c r="AB189" s="40">
        <v>-1.5</v>
      </c>
      <c r="AC189" s="40"/>
    </row>
    <row r="190" spans="1:29" x14ac:dyDescent="0.2">
      <c r="A190" s="45" t="s">
        <v>86</v>
      </c>
      <c r="B190" s="45" t="s">
        <v>90</v>
      </c>
      <c r="C190" s="45" t="s">
        <v>89</v>
      </c>
      <c r="D190" s="40">
        <v>2.9</v>
      </c>
      <c r="E190" s="40">
        <v>4.0999999999999996</v>
      </c>
      <c r="F190" s="40">
        <v>3.8</v>
      </c>
      <c r="G190" s="40">
        <v>0.1</v>
      </c>
      <c r="H190" s="40">
        <v>0.7</v>
      </c>
      <c r="I190" s="40">
        <v>0.4</v>
      </c>
      <c r="J190" s="40">
        <v>2.2000000000000002</v>
      </c>
      <c r="K190" s="40">
        <v>-1.5</v>
      </c>
      <c r="L190" s="40">
        <v>4.8</v>
      </c>
      <c r="M190" s="40">
        <v>-0.8</v>
      </c>
      <c r="N190" s="40">
        <v>-5.4</v>
      </c>
      <c r="O190" s="40">
        <v>6.9</v>
      </c>
      <c r="P190" s="40">
        <v>-1.4</v>
      </c>
      <c r="Q190" s="40">
        <v>0.2</v>
      </c>
      <c r="R190" s="40">
        <v>0.7</v>
      </c>
      <c r="S190" s="40">
        <v>2.8</v>
      </c>
      <c r="T190" s="40">
        <v>-0.9</v>
      </c>
      <c r="U190" s="40">
        <v>-0.4</v>
      </c>
      <c r="V190" s="40">
        <v>4.8</v>
      </c>
      <c r="W190" s="40">
        <v>0.6</v>
      </c>
      <c r="X190" s="40">
        <v>2.8</v>
      </c>
      <c r="Y190" s="40">
        <v>-9.6999999999999993</v>
      </c>
      <c r="Z190" s="40">
        <v>9</v>
      </c>
      <c r="AA190" s="40">
        <v>-1.8</v>
      </c>
      <c r="AB190" s="40">
        <v>-3.5</v>
      </c>
      <c r="AC190" s="40"/>
    </row>
  </sheetData>
  <pageMargins left="0.7" right="0.7" top="0.75" bottom="0.75" header="0.3" footer="0.3"/>
  <pageSetup paperSize="9" orientation="portrait" horizontalDpi="300" verticalDpi="0"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F49C2-5B71-4C07-BADA-9CD5B99C9E34}">
  <dimension ref="A1:AC5"/>
  <sheetViews>
    <sheetView topLeftCell="B1" workbookViewId="0">
      <selection activeCell="G5" sqref="G5"/>
    </sheetView>
  </sheetViews>
  <sheetFormatPr defaultColWidth="14.28515625" defaultRowHeight="15" x14ac:dyDescent="0.2"/>
  <cols>
    <col min="1" max="1" width="7" style="7" bestFit="1" customWidth="1"/>
    <col min="2" max="2" width="13" style="7" bestFit="1" customWidth="1"/>
    <col min="3" max="3" width="59.140625" style="7" bestFit="1" customWidth="1"/>
    <col min="4" max="28" width="8.7109375" style="21" bestFit="1" customWidth="1"/>
    <col min="29" max="29" width="7.7109375" style="21" bestFit="1" customWidth="1"/>
    <col min="30" max="16384" width="14.28515625" style="21"/>
  </cols>
  <sheetData>
    <row r="1" spans="1:29" ht="18" x14ac:dyDescent="0.25">
      <c r="A1" s="9" t="s">
        <v>80</v>
      </c>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row>
    <row r="2" spans="1:29" s="7" customFormat="1" ht="15.75" x14ac:dyDescent="0.25">
      <c r="A2" s="8" t="s">
        <v>38</v>
      </c>
      <c r="B2" s="8" t="s">
        <v>39</v>
      </c>
      <c r="C2" s="8" t="s">
        <v>40</v>
      </c>
      <c r="D2" s="22" t="s">
        <v>42</v>
      </c>
      <c r="E2" s="22" t="s">
        <v>43</v>
      </c>
      <c r="F2" s="22" t="s">
        <v>44</v>
      </c>
      <c r="G2" s="22" t="s">
        <v>45</v>
      </c>
      <c r="H2" s="22" t="s">
        <v>46</v>
      </c>
      <c r="I2" s="22" t="s">
        <v>47</v>
      </c>
      <c r="J2" s="22" t="s">
        <v>48</v>
      </c>
      <c r="K2" s="22" t="s">
        <v>49</v>
      </c>
      <c r="L2" s="22" t="s">
        <v>50</v>
      </c>
      <c r="M2" s="22" t="s">
        <v>51</v>
      </c>
      <c r="N2" s="22" t="s">
        <v>52</v>
      </c>
      <c r="O2" s="22" t="s">
        <v>53</v>
      </c>
      <c r="P2" s="22" t="s">
        <v>54</v>
      </c>
      <c r="Q2" s="22" t="s">
        <v>55</v>
      </c>
      <c r="R2" s="22" t="s">
        <v>56</v>
      </c>
      <c r="S2" s="22" t="s">
        <v>57</v>
      </c>
      <c r="T2" s="22" t="s">
        <v>58</v>
      </c>
      <c r="U2" s="22" t="s">
        <v>59</v>
      </c>
      <c r="V2" s="22" t="s">
        <v>60</v>
      </c>
      <c r="W2" s="22" t="s">
        <v>61</v>
      </c>
      <c r="X2" s="22" t="s">
        <v>62</v>
      </c>
      <c r="Y2" s="22" t="s">
        <v>63</v>
      </c>
      <c r="Z2" s="22" t="s">
        <v>64</v>
      </c>
      <c r="AA2" s="22" t="s">
        <v>72</v>
      </c>
      <c r="AB2" s="22" t="s">
        <v>76</v>
      </c>
      <c r="AC2" s="22"/>
    </row>
    <row r="3" spans="1:29" x14ac:dyDescent="0.2">
      <c r="A3" s="34" t="s">
        <v>65</v>
      </c>
      <c r="B3" s="34" t="s">
        <v>65</v>
      </c>
      <c r="C3" s="34" t="s">
        <v>66</v>
      </c>
      <c r="D3" s="39">
        <v>2.7</v>
      </c>
      <c r="E3" s="39">
        <v>4</v>
      </c>
      <c r="F3" s="39">
        <v>2.2000000000000002</v>
      </c>
      <c r="G3" s="39">
        <v>1.4</v>
      </c>
      <c r="H3" s="39">
        <v>2.7</v>
      </c>
      <c r="I3" s="39">
        <v>1.9</v>
      </c>
      <c r="J3" s="39">
        <v>1.9</v>
      </c>
      <c r="K3" s="39">
        <v>1.7</v>
      </c>
      <c r="L3" s="39">
        <v>1.8</v>
      </c>
      <c r="M3" s="39">
        <v>-1.1000000000000001</v>
      </c>
      <c r="N3" s="39">
        <v>-5.3</v>
      </c>
      <c r="O3" s="39">
        <v>1.4</v>
      </c>
      <c r="P3" s="39">
        <v>0.3</v>
      </c>
      <c r="Q3" s="39">
        <v>0.8</v>
      </c>
      <c r="R3" s="39">
        <v>1.1000000000000001</v>
      </c>
      <c r="S3" s="39">
        <v>2.4</v>
      </c>
      <c r="T3" s="39">
        <v>1.5</v>
      </c>
      <c r="U3" s="39">
        <v>1.1000000000000001</v>
      </c>
      <c r="V3" s="39">
        <v>2.1</v>
      </c>
      <c r="W3" s="39">
        <v>0.9</v>
      </c>
      <c r="X3" s="39">
        <v>1.1000000000000001</v>
      </c>
      <c r="Y3" s="39">
        <v>-10.5</v>
      </c>
      <c r="Z3" s="39">
        <v>8.1999999999999993</v>
      </c>
      <c r="AA3" s="39">
        <v>4</v>
      </c>
      <c r="AB3" s="39">
        <v>-0.6</v>
      </c>
      <c r="AC3" s="40"/>
    </row>
    <row r="4" spans="1:29" x14ac:dyDescent="0.2">
      <c r="A4" s="41" t="s">
        <v>67</v>
      </c>
      <c r="B4" s="41" t="s">
        <v>68</v>
      </c>
      <c r="C4" s="41" t="s">
        <v>69</v>
      </c>
      <c r="D4" s="42">
        <v>3.5</v>
      </c>
      <c r="E4" s="42">
        <v>4.3</v>
      </c>
      <c r="F4" s="42">
        <v>1.9</v>
      </c>
      <c r="G4" s="42">
        <v>1.2</v>
      </c>
      <c r="H4" s="42">
        <v>2.7</v>
      </c>
      <c r="I4" s="42">
        <v>2</v>
      </c>
      <c r="J4" s="42">
        <v>2.2000000000000002</v>
      </c>
      <c r="K4" s="42">
        <v>2.1</v>
      </c>
      <c r="L4" s="42">
        <v>2.2999999999999998</v>
      </c>
      <c r="M4" s="42">
        <v>-1.2</v>
      </c>
      <c r="N4" s="42">
        <v>-6</v>
      </c>
      <c r="O4" s="42">
        <v>3.2</v>
      </c>
      <c r="P4" s="42">
        <v>1.7</v>
      </c>
      <c r="Q4" s="42">
        <v>1.3</v>
      </c>
      <c r="R4" s="42">
        <v>1.3</v>
      </c>
      <c r="S4" s="42">
        <v>2.6</v>
      </c>
      <c r="T4" s="42">
        <v>1.1000000000000001</v>
      </c>
      <c r="U4" s="42">
        <v>1.2</v>
      </c>
      <c r="V4" s="42">
        <v>2.1</v>
      </c>
      <c r="W4" s="42">
        <v>0.8</v>
      </c>
      <c r="X4" s="42">
        <v>1</v>
      </c>
      <c r="Y4" s="42">
        <v>-10.8</v>
      </c>
      <c r="Z4" s="42">
        <v>9.1</v>
      </c>
      <c r="AA4" s="42">
        <v>3.6</v>
      </c>
      <c r="AB4" s="42">
        <v>-1.6</v>
      </c>
      <c r="AC4" s="43"/>
    </row>
    <row r="5" spans="1:29" x14ac:dyDescent="0.2">
      <c r="A5" s="45"/>
      <c r="B5" s="45"/>
      <c r="C5" s="41" t="s">
        <v>69</v>
      </c>
      <c r="D5" s="40"/>
      <c r="E5" s="40"/>
      <c r="F5" s="40">
        <v>100</v>
      </c>
      <c r="G5" s="40">
        <f>F5*(1+G4/100)</f>
        <v>101.2</v>
      </c>
      <c r="H5" s="40">
        <f t="shared" ref="H5:Z5" si="0">G5*(1+H4/100)</f>
        <v>103.93239999999999</v>
      </c>
      <c r="I5" s="40">
        <f t="shared" si="0"/>
        <v>106.01104799999999</v>
      </c>
      <c r="J5" s="40">
        <f t="shared" si="0"/>
        <v>108.34329105599998</v>
      </c>
      <c r="K5" s="40">
        <f t="shared" si="0"/>
        <v>110.61850016817597</v>
      </c>
      <c r="L5" s="40">
        <f t="shared" si="0"/>
        <v>113.162725672044</v>
      </c>
      <c r="M5" s="40">
        <f t="shared" si="0"/>
        <v>111.80477296397947</v>
      </c>
      <c r="N5" s="40">
        <f t="shared" si="0"/>
        <v>105.0964865861407</v>
      </c>
      <c r="O5" s="40">
        <f t="shared" si="0"/>
        <v>108.4595741568972</v>
      </c>
      <c r="P5" s="40">
        <f t="shared" si="0"/>
        <v>110.30338691756445</v>
      </c>
      <c r="Q5" s="40">
        <f t="shared" si="0"/>
        <v>111.73733094749278</v>
      </c>
      <c r="R5" s="40">
        <f t="shared" si="0"/>
        <v>113.18991624981017</v>
      </c>
      <c r="S5" s="40">
        <f t="shared" si="0"/>
        <v>116.13285407230524</v>
      </c>
      <c r="T5" s="40">
        <f t="shared" si="0"/>
        <v>117.41031546710059</v>
      </c>
      <c r="U5" s="40">
        <f t="shared" si="0"/>
        <v>118.8192392527058</v>
      </c>
      <c r="V5" s="40">
        <f t="shared" si="0"/>
        <v>121.31444327701261</v>
      </c>
      <c r="W5" s="40">
        <f t="shared" si="0"/>
        <v>122.28495882322872</v>
      </c>
      <c r="X5" s="40">
        <f t="shared" si="0"/>
        <v>123.50780841146101</v>
      </c>
      <c r="Y5" s="40">
        <f t="shared" si="0"/>
        <v>110.16896510302323</v>
      </c>
      <c r="Z5" s="40">
        <f t="shared" si="0"/>
        <v>120.19434092739833</v>
      </c>
      <c r="AA5" s="40"/>
      <c r="AB5" s="40"/>
    </row>
  </sheetData>
  <pageMargins left="0.7" right="0.7" top="0.75" bottom="0.75" header="0.3" footer="0.3"/>
  <pageSetup paperSize="9" orientation="portrait" horizontalDpi="300"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Change Log</SectionName>
    <Comments xmlns="1e572c8d-6813-4013-8a4a-be491ac59459" xsi:nil="true"/>
    <ReferenceId xmlns="1e572c8d-6813-4013-8a4a-be491ac59459">23999</ReferenceId>
    <Notes xmlns="1e572c8d-6813-4013-8a4a-be491ac59459" xsi:nil="true"/>
    <TrackerId xmlns="1e572c8d-6813-4013-8a4a-be491ac59459">TRCK-3185</TrackerId>
  </documentManagement>
</p:properties>
</file>

<file path=customXml/item4.xml>��
</file>

<file path=customXml/itemProps1.xml><?xml version="1.0" encoding="utf-8"?>
<ds:datastoreItem xmlns:ds="http://schemas.openxmlformats.org/officeDocument/2006/customXml" ds:itemID="{B1174565-0F75-409E-82A6-5346FEC4AE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572c8d-6813-4013-8a4a-be491ac59459"/>
    <ds:schemaRef ds:uri="96a98433-1569-4222-be80-afd48d89a1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657ECC5-351B-4012-BE75-6C02950114F4}">
  <ds:schemaRefs>
    <ds:schemaRef ds:uri="http://schemas.microsoft.com/sharepoint/v3/contenttype/forms"/>
  </ds:schemaRefs>
</ds:datastoreItem>
</file>

<file path=customXml/itemProps3.xml><?xml version="1.0" encoding="utf-8"?>
<ds:datastoreItem xmlns:ds="http://schemas.openxmlformats.org/officeDocument/2006/customXml" ds:itemID="{BA5F085C-77AF-4543-A606-337042F12ECC}">
  <ds:schemaRefs>
    <ds:schemaRef ds:uri="63b866ec-3dff-4cd9-972e-66243271eb0b"/>
    <ds:schemaRef ds:uri="http://purl.org/dc/dcmitype/"/>
    <ds:schemaRef ds:uri="http://schemas.microsoft.com/office/2006/documentManagement/types"/>
    <ds:schemaRef ds:uri="http://www.w3.org/XML/1998/namespace"/>
    <ds:schemaRef ds:uri="http://purl.org/dc/elements/1.1/"/>
    <ds:schemaRef ds:uri="http://schemas.openxmlformats.org/package/2006/metadata/core-properties"/>
    <ds:schemaRef ds:uri="http://schemas.microsoft.com/office/2006/metadata/properties"/>
    <ds:schemaRef ds:uri="http://schemas.microsoft.com/office/infopath/2007/PartnerControls"/>
    <ds:schemaRef ds:uri="c905226d-1091-4439-86ff-57c6f5cddf17"/>
    <ds:schemaRef ds:uri="http://purl.org/dc/terms/"/>
    <ds:schemaRef ds:uri="1e572c8d-6813-4013-8a4a-be491ac59459"/>
    <ds:schemaRef ds:uri="96a98433-1569-4222-be80-afd48d89a184"/>
  </ds:schemaRefs>
</ds:datastoreItem>
</file>

<file path=customXml/itemProps4.xml><?xml version="1.0" encoding="utf-8"?>
<ds:datastoreItem xmlns:ds="http://schemas.openxmlformats.org/officeDocument/2006/customXml" ds:itemID="{D6C88A55-7C53-454A-81E6-3989731E369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2</DocSecurity>
  <ScaleCrop>false</ScaleCrop>
  <HeadingPairs>
    <vt:vector size="2" baseType="variant">
      <vt:variant>
        <vt:lpstr>Worksheets</vt:lpstr>
      </vt:variant>
      <vt:variant>
        <vt:i4>9</vt:i4>
      </vt:variant>
    </vt:vector>
  </HeadingPairs>
  <TitlesOfParts>
    <vt:vector size="9" baseType="lpstr">
      <vt:lpstr>Information</vt:lpstr>
      <vt:lpstr>Contents</vt:lpstr>
      <vt:lpstr>Notes</vt:lpstr>
      <vt:lpstr>Table 11</vt:lpstr>
      <vt:lpstr>Table 11 growth</vt:lpstr>
      <vt:lpstr>Table 11 city growth</vt:lpstr>
      <vt:lpstr>Table 11 England only</vt:lpstr>
      <vt:lpstr>Table 13</vt:lpstr>
      <vt:lpstr>Table 13 England only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Regional gross domestic product (GDP) by all International Territorial Levels (ITL) regions</dc:title>
  <dc:subject/>
  <dc:creator/>
  <cp:keywords>ITL, UK cities, NUTS, GVA, local authority, regional, productivity, enterprise region</cp:keywords>
  <dc:description/>
  <cp:lastModifiedBy/>
  <cp:revision>1</cp:revision>
  <dcterms:created xsi:type="dcterms:W3CDTF">2024-03-25T11:30:58Z</dcterms:created>
  <dcterms:modified xsi:type="dcterms:W3CDTF">2025-04-19T11:17:27Z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